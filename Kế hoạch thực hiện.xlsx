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29400" windowHeight="18440" tabRatio="500" firstSheet="0" activeTab="0" autoFilterDateGrouping="1"/>
  </bookViews>
  <sheets>
    <sheet xmlns:r="http://schemas.openxmlformats.org/officeDocument/2006/relationships" name="Kế hoạch chi tiết" sheetId="1" state="visible" r:id="rId1"/>
    <sheet xmlns:r="http://schemas.openxmlformats.org/officeDocument/2006/relationships" name="Tổng quan mốc" sheetId="2" state="visible" r:id="rId2"/>
    <sheet xmlns:r="http://schemas.openxmlformats.org/officeDocument/2006/relationships" name="Khối lượng giờ" sheetId="3" state="visible" r:id="rId3"/>
    <sheet xmlns:r="http://schemas.openxmlformats.org/officeDocument/2006/relationships" name="Báo cáo 2 tuần" sheetId="4" state="visible" r:id="rId4"/>
  </sheets>
  <definedNames>
    <definedName name="_xlnm._FilterDatabase" localSheetId="0" hidden="1">'Kế hoạch chi tiết'!$A$1:$K$104</definedName>
  </definedNames>
  <calcPr calcId="191029" fullCalcOnLoad="1"/>
</workbook>
</file>

<file path=xl/styles.xml><?xml version="1.0" encoding="utf-8"?>
<styleSheet xmlns="http://schemas.openxmlformats.org/spreadsheetml/2006/main">
  <numFmts count="1">
    <numFmt numFmtId="164" formatCode="dd/mm/yyyy"/>
  </numFmts>
  <fonts count="14">
    <font>
      <name val="Calibri"/>
      <charset val="1"/>
      <family val="2"/>
      <color theme="1"/>
      <sz val="11"/>
    </font>
    <font>
      <name val="Arial"/>
      <family val="2"/>
      <color rgb="FF000000"/>
      <sz val="9"/>
    </font>
    <font>
      <name val="Arial"/>
      <family val="2"/>
      <color rgb="FF404040"/>
      <sz val="8"/>
    </font>
    <font>
      <name val="Arial"/>
      <family val="2"/>
      <color rgb="FF006100"/>
      <sz val="9"/>
    </font>
    <font>
      <name val="Calibri"/>
      <charset val="1"/>
      <family val="2"/>
      <b val="1"/>
      <color rgb="FF1F3864"/>
      <sz val="16"/>
    </font>
    <font>
      <name val="Calibri"/>
      <charset val="1"/>
      <family val="2"/>
      <b val="1"/>
      <color theme="1"/>
      <sz val="11"/>
    </font>
    <font>
      <name val="Calibri"/>
      <charset val="1"/>
      <family val="2"/>
      <b val="1"/>
      <color rgb="FFFFFFFF"/>
      <sz val="12"/>
    </font>
    <font>
      <name val="Calibri"/>
      <charset val="1"/>
      <family val="2"/>
      <color rgb="FF0000FF"/>
      <sz val="11"/>
    </font>
    <font>
      <name val="Calibri"/>
      <family val="2"/>
      <b val="1"/>
      <color rgb="FFFFFFFF"/>
      <sz val="11"/>
    </font>
    <font>
      <name val="Calibri"/>
      <family val="2"/>
      <b val="1"/>
      <color rgb="FF1F3864"/>
      <sz val="11"/>
    </font>
    <font>
      <name val="Calibri"/>
      <family val="2"/>
      <sz val="10"/>
    </font>
    <font>
      <name val="Calibri"/>
      <family val="2"/>
      <b val="1"/>
      <color rgb="FFFFFFFF"/>
      <sz val="11"/>
    </font>
    <font>
      <name val="Calibri"/>
      <family val="2"/>
      <b val="1"/>
      <sz val="11"/>
    </font>
    <font>
      <name val="Calibri"/>
      <family val="2"/>
      <strike val="1"/>
      <color rgb="FF7F7F7F"/>
      <sz val="11"/>
    </font>
  </fonts>
  <fills count="10">
    <fill>
      <patternFill/>
    </fill>
    <fill>
      <patternFill patternType="gray125"/>
    </fill>
    <fill>
      <patternFill patternType="solid">
        <fgColor rgb="FFC6EFCE"/>
        <bgColor rgb="FFCCFFFF"/>
      </patternFill>
    </fill>
    <fill>
      <patternFill patternType="solid">
        <fgColor rgb="FF1F3864"/>
        <bgColor indexed="64"/>
      </patternFill>
    </fill>
    <fill>
      <patternFill patternType="solid">
        <fgColor rgb="FFD9E2F3"/>
        <bgColor indexed="64"/>
      </patternFill>
    </fill>
    <fill>
      <patternFill patternType="solid">
        <fgColor rgb="FF1F3864"/>
      </patternFill>
    </fill>
    <fill>
      <patternFill patternType="solid">
        <fgColor rgb="FFD9E2F3"/>
      </patternFill>
    </fill>
    <fill>
      <patternFill patternType="solid">
        <fgColor rgb="FFE2EFDA"/>
      </patternFill>
    </fill>
    <fill>
      <patternFill patternType="solid">
        <fgColor rgb="FFFCE4D6"/>
      </patternFill>
    </fill>
    <fill>
      <patternFill patternType="solid">
        <fgColor rgb="FFD9D9D9"/>
      </patternFill>
    </fill>
  </fills>
  <borders count="13">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43">
    <xf numFmtId="0" fontId="0" fillId="0" borderId="0" pivotButton="0" quotePrefix="0" xfId="0"/>
    <xf numFmtId="0" fontId="1" fillId="0" borderId="1" applyAlignment="1" pivotButton="0" quotePrefix="0" xfId="0">
      <alignment horizontal="left" vertical="top" wrapText="1"/>
    </xf>
    <xf numFmtId="0" fontId="2" fillId="0" borderId="1" applyAlignment="1" pivotButton="0" quotePrefix="0" xfId="0">
      <alignment horizontal="left" vertical="top" wrapText="1"/>
    </xf>
    <xf numFmtId="0" fontId="1" fillId="0" borderId="1" applyAlignment="1" pivotButton="0" quotePrefix="0" xfId="0">
      <alignment horizontal="center" vertical="center" wrapText="1"/>
    </xf>
    <xf numFmtId="0" fontId="3" fillId="2" borderId="1" applyAlignment="1" pivotButton="0" quotePrefix="0" xfId="0">
      <alignment horizontal="center" vertical="center" wrapText="1"/>
    </xf>
    <xf numFmtId="0" fontId="4" fillId="0" borderId="0" pivotButton="0" quotePrefix="0" xfId="0"/>
    <xf numFmtId="0" fontId="5" fillId="0" borderId="0" pivotButton="0" quotePrefix="0" xfId="0"/>
    <xf numFmtId="0" fontId="5" fillId="4" borderId="2" applyAlignment="1" pivotButton="0" quotePrefix="0" xfId="0">
      <alignment horizontal="center" vertical="center" wrapText="1"/>
    </xf>
    <xf numFmtId="0" fontId="0" fillId="0" borderId="2" applyAlignment="1" pivotButton="0" quotePrefix="0" xfId="0">
      <alignment horizontal="center" vertical="top" wrapText="1"/>
    </xf>
    <xf numFmtId="0" fontId="7" fillId="0" borderId="0" pivotButton="0" quotePrefix="0" xfId="0"/>
    <xf numFmtId="164" fontId="7" fillId="0" borderId="0" pivotButton="0" quotePrefix="0" xfId="0"/>
    <xf numFmtId="0" fontId="7" fillId="0" borderId="0" applyAlignment="1" pivotButton="0" quotePrefix="0" xfId="0">
      <alignment horizontal="center"/>
    </xf>
    <xf numFmtId="0" fontId="7" fillId="0" borderId="2" applyAlignment="1" pivotButton="0" quotePrefix="0" xfId="0">
      <alignment vertical="top" wrapText="1"/>
    </xf>
    <xf numFmtId="164" fontId="7" fillId="0" borderId="2" applyAlignment="1" pivotButton="0" quotePrefix="0" xfId="0">
      <alignment horizontal="center" vertical="top" wrapText="1"/>
    </xf>
    <xf numFmtId="9" fontId="7" fillId="0" borderId="2" applyAlignment="1" pivotButton="0" quotePrefix="0" xfId="0">
      <alignment horizontal="center" vertical="top" wrapText="1"/>
    </xf>
    <xf numFmtId="0" fontId="7" fillId="0" borderId="2" applyAlignment="1" pivotButton="0" quotePrefix="0" xfId="0">
      <alignment horizontal="center" vertical="top" wrapText="1"/>
    </xf>
    <xf numFmtId="0" fontId="7" fillId="0" borderId="0" applyAlignment="1" pivotButton="0" quotePrefix="0" xfId="0">
      <alignment horizontal="right"/>
    </xf>
    <xf numFmtId="0" fontId="8" fillId="5" borderId="6" applyAlignment="1" pivotButton="0" quotePrefix="0" xfId="0">
      <alignment horizontal="center" vertical="center" wrapText="1"/>
    </xf>
    <xf numFmtId="0" fontId="11" fillId="5" borderId="0" applyAlignment="1" pivotButton="0" quotePrefix="0" xfId="0">
      <alignment horizontal="center" wrapText="1"/>
    </xf>
    <xf numFmtId="0" fontId="11" fillId="5" borderId="1" applyAlignment="1" pivotButton="0" quotePrefix="0" xfId="0">
      <alignment horizontal="center" wrapText="1"/>
    </xf>
    <xf numFmtId="0" fontId="10" fillId="7" borderId="6" applyAlignment="1" pivotButton="0" quotePrefix="0" xfId="0">
      <alignment horizontal="center" vertical="center"/>
    </xf>
    <xf numFmtId="0" fontId="10" fillId="0" borderId="6" applyAlignment="1" pivotButton="0" quotePrefix="0" xfId="0">
      <alignment horizontal="center" vertical="center"/>
    </xf>
    <xf numFmtId="0" fontId="0" fillId="0" borderId="0" applyAlignment="1" pivotButton="0" quotePrefix="0" xfId="0">
      <alignment vertical="center"/>
    </xf>
    <xf numFmtId="0" fontId="10" fillId="7" borderId="6" applyAlignment="1" pivotButton="0" quotePrefix="0" xfId="0">
      <alignment horizontal="left" vertical="center" wrapText="1"/>
    </xf>
    <xf numFmtId="0" fontId="10" fillId="0" borderId="6" applyAlignment="1" pivotButton="0" quotePrefix="0" xfId="0">
      <alignment horizontal="left" vertical="center" wrapText="1"/>
    </xf>
    <xf numFmtId="0" fontId="0" fillId="0" borderId="0" applyAlignment="1" pivotButton="0" quotePrefix="0" xfId="0">
      <alignment horizontal="center" vertical="center"/>
    </xf>
    <xf numFmtId="0" fontId="10" fillId="8" borderId="6" applyAlignment="1" pivotButton="0" quotePrefix="0" xfId="0">
      <alignment vertical="center" wrapText="1"/>
    </xf>
    <xf numFmtId="0" fontId="10" fillId="7" borderId="6" applyAlignment="1" pivotButton="0" quotePrefix="0" xfId="0">
      <alignment horizontal="center" vertical="top"/>
    </xf>
    <xf numFmtId="0" fontId="10" fillId="0" borderId="6" applyAlignment="1" pivotButton="0" quotePrefix="0" xfId="0">
      <alignment horizontal="center" vertical="top"/>
    </xf>
    <xf numFmtId="0" fontId="12" fillId="0" borderId="0" pivotButton="0" quotePrefix="0" xfId="0"/>
    <xf numFmtId="0" fontId="13" fillId="0" borderId="6" applyAlignment="1" pivotButton="0" quotePrefix="0" xfId="0">
      <alignment horizontal="left" vertical="center" wrapText="1"/>
    </xf>
    <xf numFmtId="0" fontId="10" fillId="9" borderId="6" applyAlignment="1" pivotButton="0" quotePrefix="0" xfId="0">
      <alignment horizontal="center" vertical="center"/>
    </xf>
    <xf numFmtId="0" fontId="9" fillId="6" borderId="6" applyAlignment="1" pivotButton="0" quotePrefix="0" xfId="0">
      <alignment vertical="center"/>
    </xf>
    <xf numFmtId="0" fontId="0" fillId="0" borderId="7" pivotButton="0" quotePrefix="0" xfId="0"/>
    <xf numFmtId="0" fontId="0" fillId="0" borderId="8" pivotButton="0" quotePrefix="0" xfId="0"/>
    <xf numFmtId="0" fontId="0" fillId="0" borderId="0" applyAlignment="1" pivotButton="0" quotePrefix="0" xfId="0">
      <alignment vertical="top" wrapText="1"/>
    </xf>
    <xf numFmtId="0" fontId="0" fillId="0" borderId="0" pivotButton="0" quotePrefix="0" xfId="0"/>
    <xf numFmtId="0" fontId="5" fillId="4" borderId="2" applyAlignment="1" pivotButton="0" quotePrefix="0" xfId="0">
      <alignment horizontal="center" vertical="center" wrapText="1"/>
    </xf>
    <xf numFmtId="0" fontId="0" fillId="0" borderId="4" pivotButton="0" quotePrefix="0" xfId="0"/>
    <xf numFmtId="0" fontId="0" fillId="0" borderId="5" pivotButton="0" quotePrefix="0" xfId="0"/>
    <xf numFmtId="0" fontId="7" fillId="0" borderId="2" applyAlignment="1" pivotButton="0" quotePrefix="0" xfId="0">
      <alignment vertical="top" wrapText="1"/>
    </xf>
    <xf numFmtId="0" fontId="6" fillId="3" borderId="3" applyAlignment="1" pivotButton="0" quotePrefix="0" xfId="0">
      <alignment horizontal="left"/>
    </xf>
    <xf numFmtId="0" fontId="0" fillId="0" borderId="3" pivotButton="0" quotePrefix="0" xfId="0"/>
  </cellXfs>
  <cellStyles count="1">
    <cellStyle name="Normal" xfId="0" builtinId="0"/>
  </cellStyles>
  <dxfs count="3">
    <dxf>
      <font>
        <color rgb="FF9C5700"/>
      </font>
      <fill>
        <patternFill patternType="solid">
          <fgColor indexed="64"/>
          <bgColor rgb="FFFFEB9C"/>
        </patternFill>
      </fill>
    </dxf>
    <dxf>
      <font>
        <color rgb="FF9C0006"/>
      </font>
      <fill>
        <patternFill patternType="solid">
          <fgColor indexed="64"/>
          <bgColor rgb="FFFFC7CE"/>
        </patternFill>
      </fill>
    </dxf>
    <dxf>
      <font>
        <color rgb="FF006100"/>
      </font>
      <fill>
        <patternFill patternType="solid">
          <fgColor indexed="64"/>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7F6000"/>
      <rgbColor rgb="FF800080"/>
      <rgbColor rgb="FF008080"/>
      <rgbColor rgb="FFBFBFBF"/>
      <rgbColor rgb="FF808080"/>
      <rgbColor rgb="FF9999FF"/>
      <rgbColor rgb="FF993366"/>
      <rgbColor rgb="FFF2F2F2"/>
      <rgbColor rgb="FFFFE699"/>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C6500"/>
      <rgbColor rgb="FF993366"/>
      <rgbColor rgb="FF2E5496"/>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4"/>
  <sheetViews>
    <sheetView tabSelected="1" zoomScaleNormal="100" workbookViewId="0">
      <pane ySplit="1" topLeftCell="A11" activePane="bottomLeft" state="frozen"/>
      <selection pane="bottomLeft" activeCell="D24" sqref="D24"/>
    </sheetView>
  </sheetViews>
  <sheetFormatPr baseColWidth="10" defaultColWidth="8.83203125" defaultRowHeight="15"/>
  <cols>
    <col width="6" customWidth="1" style="22" min="1" max="1"/>
    <col width="9" customWidth="1" style="22" min="2" max="2"/>
    <col width="7" customWidth="1" style="22" min="3" max="3"/>
    <col width="62" customWidth="1" style="22" min="4" max="4"/>
    <col width="30" customWidth="1" style="22" min="5" max="5"/>
    <col width="12" customWidth="1" style="22" min="6" max="7"/>
    <col width="14" customWidth="1" style="25" min="8" max="8"/>
    <col width="42" customWidth="1" style="22" min="9" max="9"/>
    <col width="60" customWidth="1" style="22" min="10" max="10"/>
    <col width="12" customWidth="1" style="36" min="11" max="11"/>
  </cols>
  <sheetData>
    <row r="1" ht="16" customHeight="1" s="36">
      <c r="A1" s="17" t="inlineStr">
        <is>
          <t>STT</t>
        </is>
      </c>
      <c r="B1" s="17" t="inlineStr">
        <is>
          <t>Nội dung</t>
        </is>
      </c>
      <c r="C1" s="17" t="inlineStr">
        <is>
          <t>Tuần</t>
        </is>
      </c>
      <c r="D1" s="17" t="inlineStr">
        <is>
          <t>Đầu việc</t>
        </is>
      </c>
      <c r="E1" s="17" t="inlineStr">
        <is>
          <t>Đầu ra</t>
        </is>
      </c>
      <c r="F1" s="17" t="inlineStr">
        <is>
          <t>Bắt đầu</t>
        </is>
      </c>
      <c r="G1" s="17" t="inlineStr">
        <is>
          <t>Deadline</t>
        </is>
      </c>
      <c r="H1" s="17" t="inlineStr">
        <is>
          <t>Trạng thái</t>
        </is>
      </c>
      <c r="I1" s="17" t="inlineStr">
        <is>
          <t>Ghi chú</t>
        </is>
      </c>
      <c r="J1" s="17" t="inlineStr">
        <is>
          <t>Đề xuất kết hợp với Claude</t>
        </is>
      </c>
      <c r="K1" s="17" t="inlineStr">
        <is>
          <t>Giờ ước tính</t>
        </is>
      </c>
    </row>
    <row r="2" ht="20" customHeight="1" s="36">
      <c r="A2" s="32" t="inlineStr">
        <is>
          <t>ND1 · Tìm hiểu tổng quan về bài toán — Tuần 1–3 (07/09/2026 → 27/09/2026)</t>
        </is>
      </c>
      <c r="B2" s="33" t="n"/>
      <c r="C2" s="33" t="n"/>
      <c r="D2" s="33" t="n"/>
      <c r="E2" s="33" t="n"/>
      <c r="F2" s="33" t="n"/>
      <c r="G2" s="33" t="n"/>
      <c r="H2" s="33" t="n"/>
      <c r="I2" s="33" t="n"/>
      <c r="J2" s="34" t="n"/>
    </row>
    <row r="3" ht="30" customHeight="1" s="36">
      <c r="A3" s="20" t="n">
        <v>1</v>
      </c>
      <c r="B3" s="20" t="inlineStr">
        <is>
          <t>ND1</t>
        </is>
      </c>
      <c r="C3" s="20" t="inlineStr">
        <is>
          <t>Tuần 1</t>
        </is>
      </c>
      <c r="D3" s="23" t="inlineStr">
        <is>
          <t>Tìm hiểu các khía cạnh của AI Security; xác định vị trí của tấn công tiêm nhiễm gián tiếp (IPI) trong bức tranh chung</t>
        </is>
      </c>
      <c r="E3" s="23" t="inlineStr">
        <is>
          <t>Ghi chú khảo sát + mục 2.1 báo cáo</t>
        </is>
      </c>
      <c r="F3" s="20" t="inlineStr">
        <is>
          <t>07/09/2026</t>
        </is>
      </c>
      <c r="G3" s="20" t="inlineStr">
        <is>
          <t>13/09/2026</t>
        </is>
      </c>
      <c r="H3" s="20" t="inlineStr">
        <is>
          <t>Xong</t>
        </is>
      </c>
      <c r="I3" s="23" t="n"/>
      <c r="J3" s="26" t="inlineStr">
        <is>
          <t>Claude lập bản đồ khái niệm AI Security làm danh mục kiểm; TA rà phần đã viết còn thiếu nhánh nào.</t>
        </is>
      </c>
      <c r="K3" s="27" t="n">
        <v>6</v>
      </c>
    </row>
    <row r="4" ht="30" customHeight="1" s="36">
      <c r="A4" s="20" t="n">
        <v>2</v>
      </c>
      <c r="B4" s="20" t="inlineStr">
        <is>
          <t>ND1</t>
        </is>
      </c>
      <c r="C4" s="20" t="inlineStr">
        <is>
          <t>Tuần 1</t>
        </is>
      </c>
      <c r="D4" s="23" t="inlineStr">
        <is>
          <t>Tìm hiểu cơ chế hoạt động của AI Agent dùng RAG và MCP tool-calling; vẽ con đường nội dung không tin cậy đi vào cửa sổ ngữ cảnh</t>
        </is>
      </c>
      <c r="E4" s="23" t="inlineStr">
        <is>
          <t>Sơ đồ luồng dữ liệu + ghi chú</t>
        </is>
      </c>
      <c r="F4" s="20" t="inlineStr">
        <is>
          <t>07/09/2026</t>
        </is>
      </c>
      <c r="G4" s="20" t="inlineStr">
        <is>
          <t>13/09/2026</t>
        </is>
      </c>
      <c r="H4" s="20" t="inlineStr">
        <is>
          <t>Xong</t>
        </is>
      </c>
      <c r="I4" s="23" t="n"/>
      <c r="J4" s="26" t="inlineStr">
        <is>
          <t>Claude vẽ sơ đồ luồng dữ liệu (Mermaid) từ mô tả bằng lời; TA đối chiếu với tài liệu MCP gốc.</t>
        </is>
      </c>
      <c r="K4" s="27" t="n">
        <v>6</v>
      </c>
    </row>
    <row r="5" ht="30" customHeight="1" s="36">
      <c r="A5" s="20" t="n">
        <v>3</v>
      </c>
      <c r="B5" s="20" t="inlineStr">
        <is>
          <t>ND1</t>
        </is>
      </c>
      <c r="C5" s="20" t="inlineStr">
        <is>
          <t>Tuần 2</t>
        </is>
      </c>
      <c r="D5" s="23" t="inlineStr">
        <is>
          <t>Xây dựng mô hình đe dọa 2 mức: 3 tài sản cần bảo vệ TS1–TS3, 3 mục tiêu tấn công G1–G3; định nghĩa giả định về năng lực kẻ tấn công</t>
        </is>
      </c>
      <c r="E5" s="23" t="inlineStr">
        <is>
          <t>docs/01. Đề bài/01. Mô tả bài toán.md</t>
        </is>
      </c>
      <c r="F5" s="20" t="inlineStr">
        <is>
          <t>14/09/2026</t>
        </is>
      </c>
      <c r="G5" s="20" t="inlineStr">
        <is>
          <t>20/09/2026</t>
        </is>
      </c>
      <c r="H5" s="20" t="inlineStr">
        <is>
          <t>Xong</t>
        </is>
      </c>
      <c r="I5" s="23" t="n"/>
      <c r="J5" s="26" t="inlineStr">
        <is>
          <t>Claude đóng vai phản biện, soi threat model: chỗ nào TS1–TS3 chưa phủ, giả định nào quá mạnh.</t>
        </is>
      </c>
      <c r="K5" s="27" t="n">
        <v>8</v>
      </c>
    </row>
    <row r="6" ht="30" customHeight="1" s="36">
      <c r="A6" s="20" t="n">
        <v>4</v>
      </c>
      <c r="B6" s="20" t="inlineStr">
        <is>
          <t>ND1</t>
        </is>
      </c>
      <c r="C6" s="20" t="inlineStr">
        <is>
          <t>Tuần 2</t>
        </is>
      </c>
      <c r="D6" s="23" t="inlineStr">
        <is>
          <t>Xây dựng taxonomy kênh nội dung không tin cậy K1–K5; chốt 2 kênh đưa vào phạm vi thực nghiệm (K1 tài liệu RAG, K2 tool description/tool output)</t>
        </is>
      </c>
      <c r="E6" s="23" t="inlineStr">
        <is>
          <t>Mục taxonomy trong MO_TA_BAI_TOAN.md</t>
        </is>
      </c>
      <c r="F6" s="20" t="inlineStr">
        <is>
          <t>14/09/2026</t>
        </is>
      </c>
      <c r="G6" s="20" t="inlineStr">
        <is>
          <t>20/09/2026</t>
        </is>
      </c>
      <c r="H6" s="20" t="inlineStr">
        <is>
          <t>Xong</t>
        </is>
      </c>
      <c r="I6" s="23" t="n"/>
      <c r="J6" s="26" t="inlineStr">
        <is>
          <t>Claude soát tính đầy đủ và tách bạch của taxonomy K1–K5.</t>
        </is>
      </c>
      <c r="K6" s="27" t="n">
        <v>6</v>
      </c>
    </row>
    <row r="7" ht="30" customHeight="1" s="36">
      <c r="A7" s="20" t="n">
        <v>5</v>
      </c>
      <c r="B7" s="20" t="inlineStr">
        <is>
          <t>ND1</t>
        </is>
      </c>
      <c r="C7" s="20" t="inlineStr">
        <is>
          <t>Tuần 2</t>
        </is>
      </c>
      <c r="D7" s="23" t="inlineStr">
        <is>
          <t>Khảo sát bộ đo và công trình liên quan (AgentDojo, AutoDojo, MCPTox, InjecAgent, AgentDyn, MCP-Poison-Bench); bằng chứng chạy thật đã có, còn hoàn thiện FIT_GAP.md</t>
        </is>
      </c>
      <c r="E7" s="23" t="inlineStr">
        <is>
          <t>docs/03. Khảo sát/evidence/ + docs/03. Khảo sát/FIT_GAP.md</t>
        </is>
      </c>
      <c r="F7" s="20" t="inlineStr">
        <is>
          <t>14/09/2026</t>
        </is>
      </c>
      <c r="G7" s="20" t="inlineStr">
        <is>
          <t>20/09/2026</t>
        </is>
      </c>
      <c r="H7" s="20" t="inlineStr">
        <is>
          <t>Xong</t>
        </is>
      </c>
      <c r="I7" s="23" t="inlineStr">
        <is>
          <t>QUY TẮC CỨNG #2: không nhận xét benchmark nếu chưa chạy thật. Bằng chứng đã lưu ở docs/03. Khảo sát/evidence/</t>
        </is>
      </c>
      <c r="J7" s="26" t="inlineStr">
        <is>
          <t>Claude tóm tắt paper theo bảng tiêu chí cố định; nhận xét benchmark phải tự chạy (quy tắc #2).</t>
        </is>
      </c>
      <c r="K7" s="27" t="n">
        <v>6</v>
      </c>
    </row>
    <row r="8" ht="30" customHeight="1" s="36">
      <c r="A8" s="20" t="n">
        <v>6</v>
      </c>
      <c r="B8" s="20" t="inlineStr">
        <is>
          <t>ND1</t>
        </is>
      </c>
      <c r="C8" s="20" t="inlineStr">
        <is>
          <t>Tuần 3</t>
        </is>
      </c>
      <c r="D8" s="23" t="inlineStr">
        <is>
          <t>Chốt phạm vi đồ án, 6 câu hỏi nghiên cứu RQ1–RQ6, persona người dùng và checklist ký với GVHD</t>
        </is>
      </c>
      <c r="E8" s="23" t="inlineStr">
        <is>
          <t>Mục phạm vi + RQ trong Y_TUONG_DU_AN.md</t>
        </is>
      </c>
      <c r="F8" s="20" t="inlineStr">
        <is>
          <t>21/09/2026</t>
        </is>
      </c>
      <c r="G8" s="20" t="inlineStr">
        <is>
          <t>27/09/2026</t>
        </is>
      </c>
      <c r="H8" s="20" t="inlineStr">
        <is>
          <t>Xong</t>
        </is>
      </c>
      <c r="I8" s="23" t="inlineStr">
        <is>
          <t>CỔNG M0</t>
        </is>
      </c>
      <c r="J8" s="26" t="inlineStr">
        <is>
          <t>Claude đóng vai hội đồng đặt câu hỏi khó về phạm vi và 6 RQ để vá lỗ hổng trước khi chốt.</t>
        </is>
      </c>
      <c r="K8" s="27" t="n">
        <v>6</v>
      </c>
    </row>
    <row r="9" ht="30" customHeight="1" s="36">
      <c r="A9" s="20" t="n">
        <v>7</v>
      </c>
      <c r="B9" s="20" t="inlineStr">
        <is>
          <t>ND1</t>
        </is>
      </c>
      <c r="C9" s="20" t="inlineStr">
        <is>
          <t>Tuần 3</t>
        </is>
      </c>
      <c r="D9" s="23" t="inlineStr">
        <is>
          <t>Soạn phụ lục điều chỉnh phạm vi trình GVHD ký: đổi bộ model, mở 5→8 kỹ thuật tấn công, thêm Bước 10 harness thương mại, ngân sách phân tầng</t>
        </is>
      </c>
      <c r="E9" s="23" t="inlineStr">
        <is>
          <t>Phụ lục điều chỉnh (in ra, có chữ ký)</t>
        </is>
      </c>
      <c r="F9" s="20" t="inlineStr">
        <is>
          <t>21/09/2026</t>
        </is>
      </c>
      <c r="G9" s="20" t="inlineStr">
        <is>
          <t>27/09/2026</t>
        </is>
      </c>
      <c r="H9" s="20" t="inlineStr">
        <is>
          <t>Xong</t>
        </is>
      </c>
      <c r="I9" s="23" t="inlineStr">
        <is>
          <t>Chưa ký thì chạy theo phạm vi cũ, không tự đổi model</t>
        </is>
      </c>
      <c r="J9" s="26" t="inlineStr">
        <is>
          <t>Claude soạn nháp phụ lục theo thể thức; TA rà nội dung và ký, ghi rõ có AI hỗ trợ soạn.</t>
        </is>
      </c>
      <c r="K9" s="27" t="n">
        <v>4</v>
      </c>
    </row>
    <row r="10" ht="30" customHeight="1" s="36">
      <c r="A10" s="20" t="n">
        <v>8</v>
      </c>
      <c r="B10" s="20" t="inlineStr">
        <is>
          <t>ND1</t>
        </is>
      </c>
      <c r="C10" s="20" t="inlineStr">
        <is>
          <t>Tuần 3</t>
        </is>
      </c>
      <c r="D10" s="23" t="inlineStr">
        <is>
          <t>Đồng bộ CLAUDE.md, Y_TUONG_DU_AN.md và Kế hoạch thực hiện với phiếu giao nhiệm vụ đã ký (khung 6 Nội dung / 17 tuần, hạn 08/01/2027)</t>
        </is>
      </c>
      <c r="E10" s="23" t="inlineStr">
        <is>
          <t>CLAUDE.md + Y_TUONG_DU_AN.md</t>
        </is>
      </c>
      <c r="F10" s="20" t="inlineStr">
        <is>
          <t>21/09/2026</t>
        </is>
      </c>
      <c r="G10" s="20" t="inlineStr">
        <is>
          <t>27/09/2026</t>
        </is>
      </c>
      <c r="H10" s="20" t="inlineStr">
        <is>
          <t>Xong</t>
        </is>
      </c>
      <c r="I10" s="23" t="inlineStr">
        <is>
          <t>Ghi một mục vào CHANGELOG_TAI_LIEU.md</t>
        </is>
      </c>
      <c r="J10" s="26" t="inlineStr">
        <is>
          <t>Claude đọc chéo CLAUDE.md, Y_TUONG_DU_AN.md, Kế hoạch thực hiện và liệt kê mọi chỗ mâu thuẫn.</t>
        </is>
      </c>
      <c r="K10" s="28" t="n">
        <v>3</v>
      </c>
    </row>
    <row r="11" ht="30" customHeight="1" s="36">
      <c r="A11" s="20" t="n">
        <v>9</v>
      </c>
      <c r="B11" s="20" t="inlineStr">
        <is>
          <t>ND1</t>
        </is>
      </c>
      <c r="C11" s="20" t="inlineStr">
        <is>
          <t>Tuần 3</t>
        </is>
      </c>
      <c r="D11" s="23" t="inlineStr">
        <is>
          <t>Viết báo cáo: chương 1 đặt vấn đề, tính cấp thiết, mục tiêu, 6 câu hỏi nghiên cứu, đóng góp, bố cục</t>
        </is>
      </c>
      <c r="E11" s="23" t="inlineStr">
        <is>
          <t>Nháp chương 1</t>
        </is>
      </c>
      <c r="F11" s="20" t="inlineStr">
        <is>
          <t>21/09/2026</t>
        </is>
      </c>
      <c r="G11" s="20" t="inlineStr">
        <is>
          <t>27/09/2026</t>
        </is>
      </c>
      <c r="H11" s="20" t="inlineStr">
        <is>
          <t>Xong</t>
        </is>
      </c>
      <c r="I11" s="23" t="inlineStr">
        <is>
          <t>P1 — viết dần 2h/tuần, không dồn cuối</t>
        </is>
      </c>
      <c r="J11" s="26" t="inlineStr">
        <is>
          <t>Claude chuyển ý gạch đầu dòng thành đoạn văn khoa học (Phụ lục A); TA tự kiểm mọi trích dẫn.</t>
        </is>
      </c>
      <c r="K11" s="27" t="n">
        <v>8</v>
      </c>
    </row>
    <row r="12" ht="20" customHeight="1" s="36">
      <c r="A12" s="32" t="inlineStr">
        <is>
          <t>ND2 · Tìm hiểu tổng quan về công nghệ liên quan — Tuần 4–5 (28/09/2026 → 11/10/2026)</t>
        </is>
      </c>
      <c r="B12" s="33" t="n"/>
      <c r="C12" s="33" t="n"/>
      <c r="D12" s="33" t="n"/>
      <c r="E12" s="33" t="n"/>
      <c r="F12" s="33" t="n"/>
      <c r="G12" s="33" t="n"/>
      <c r="H12" s="33" t="n"/>
      <c r="I12" s="33" t="n"/>
      <c r="J12" s="34" t="n"/>
    </row>
    <row r="13" ht="30" customHeight="1" s="36">
      <c r="A13" s="21" t="n">
        <v>10</v>
      </c>
      <c r="B13" s="21" t="inlineStr">
        <is>
          <t>ND2</t>
        </is>
      </c>
      <c r="C13" s="21" t="inlineStr">
        <is>
          <t>Tuần 4</t>
        </is>
      </c>
      <c r="D13" s="30" t="inlineStr">
        <is>
          <t>MCP Python SDK: lấy danh sách công cụ động qua stdio và HTTP, cơ chế tool-calling; dựng PoC tối giản 1 tool</t>
        </is>
      </c>
      <c r="E13" s="30" t="inlineStr">
        <is>
          <t>PoC mcp_poc/ + ghi chú</t>
        </is>
      </c>
      <c r="F13" s="21" t="inlineStr">
        <is>
          <t>28/09/2026</t>
        </is>
      </c>
      <c r="G13" s="21" t="inlineStr">
        <is>
          <t>04/10/2026</t>
        </is>
      </c>
      <c r="H13" s="31" t="inlineStr">
        <is>
          <t>Đã cắt</t>
        </is>
      </c>
      <c r="I13" s="24" t="inlineStr">
        <is>
          <t>Gộp vào ghi chú tìm hiểu ở STT 16 và dựng thẳng ở STT 26, 28</t>
        </is>
      </c>
      <c r="J13" s="26" t="inlineStr">
        <is>
          <t>Đã cắt khỏi kế hoạch.</t>
        </is>
      </c>
      <c r="K13" s="28" t="n">
        <v>0</v>
      </c>
    </row>
    <row r="14" ht="30" customHeight="1" s="36">
      <c r="A14" s="21" t="n">
        <v>11</v>
      </c>
      <c r="B14" s="21" t="inlineStr">
        <is>
          <t>ND2</t>
        </is>
      </c>
      <c r="C14" s="21" t="inlineStr">
        <is>
          <t>Tuần 4</t>
        </is>
      </c>
      <c r="D14" s="30" t="inlineStr">
        <is>
          <t>Kỹ thuật RAG: embedding, vector store, truy hồi top-k, xử lý tài liệu PDF/DOCX/Markdown; PoC truy hồi trên kho 40 tài liệu</t>
        </is>
      </c>
      <c r="E14" s="30" t="inlineStr">
        <is>
          <t>PoC rag_poc/ + kho tri thức nháp</t>
        </is>
      </c>
      <c r="F14" s="21" t="inlineStr">
        <is>
          <t>28/09/2026</t>
        </is>
      </c>
      <c r="G14" s="21" t="inlineStr">
        <is>
          <t>04/10/2026</t>
        </is>
      </c>
      <c r="H14" s="31" t="inlineStr">
        <is>
          <t>Đã cắt</t>
        </is>
      </c>
      <c r="I14" s="24" t="inlineStr">
        <is>
          <t>Gộp vào ghi chú tìm hiểu ở STT 16 và dựng thẳng ở ingest/retriever của lõi agent</t>
        </is>
      </c>
      <c r="J14" s="26" t="inlineStr">
        <is>
          <t>Đã cắt khỏi kế hoạch.</t>
        </is>
      </c>
      <c r="K14" s="28" t="n">
        <v>0</v>
      </c>
    </row>
    <row r="15" ht="30" customHeight="1" s="36">
      <c r="A15" s="20" t="n">
        <v>12</v>
      </c>
      <c r="B15" s="20" t="inlineStr">
        <is>
          <t>ND2</t>
        </is>
      </c>
      <c r="C15" s="20" t="inlineStr">
        <is>
          <t>Tuần 4</t>
        </is>
      </c>
      <c r="D15" s="23" t="inlineStr">
        <is>
          <t>Khảo sát 4 nhóm kỹ thuật phòng thủ: lọc đầu vào, spotlighting, kiểm soát chính sách gọi công cụ, lọc dữ liệu đầu ra</t>
        </is>
      </c>
      <c r="E15" s="23" t="inlineStr">
        <is>
          <t>Ghi chú + mục 2.4 báo cáo</t>
        </is>
      </c>
      <c r="F15" s="20" t="inlineStr">
        <is>
          <t>28/09/2026</t>
        </is>
      </c>
      <c r="G15" s="20" t="inlineStr">
        <is>
          <t>04/10/2026</t>
        </is>
      </c>
      <c r="H15" s="20" t="inlineStr">
        <is>
          <t>Xong</t>
        </is>
      </c>
      <c r="I15" s="23" t="inlineStr">
        <is>
          <t>Đầu vào trực tiếp cho thiết kế D1–D4 ở ND3</t>
        </is>
      </c>
      <c r="J15" s="26" t="inlineStr">
        <is>
          <t>Claude lập bảng đối chiếu 4 nhóm phòng thủ: cơ chế · vị trí cắm · điểm mù · chi phí.</t>
        </is>
      </c>
      <c r="K15" s="28" t="n">
        <v>5</v>
      </c>
    </row>
    <row r="16" ht="30" customHeight="1" s="36">
      <c r="A16" s="20" t="n">
        <v>13</v>
      </c>
      <c r="B16" s="20" t="inlineStr">
        <is>
          <t>ND2</t>
        </is>
      </c>
      <c r="C16" s="20" t="inlineStr">
        <is>
          <t>Tuần 5</t>
        </is>
      </c>
      <c r="D16" s="23" t="inlineStr">
        <is>
          <t>Công nghệ nền của hệ đo: FastAPI, SQLModel/SQLite, MailHog, Streamlit, Docker Compose, pytest; dựng khung dự án quản lý bằng uv</t>
        </is>
      </c>
      <c r="E16" s="23" t="inlineStr">
        <is>
          <t>ipi-agent-lab/ khung dự án chạy được</t>
        </is>
      </c>
      <c r="F16" s="20" t="inlineStr">
        <is>
          <t>05/10/2026</t>
        </is>
      </c>
      <c r="G16" s="20" t="inlineStr">
        <is>
          <t>11/10/2026</t>
        </is>
      </c>
      <c r="H16" s="20" t="inlineStr">
        <is>
          <t>Xong</t>
        </is>
      </c>
      <c r="I16" s="23" t="inlineStr">
        <is>
          <t>uv sync --all-groups; ruff line-length 100, py310</t>
        </is>
      </c>
      <c r="J16" s="26" t="inlineStr">
        <is>
          <t>Claude dựng khung repo (uv, ruff, pytest, docker-compose, layout) trong một lượt.</t>
        </is>
      </c>
      <c r="K16" s="28" t="n">
        <v>6</v>
      </c>
    </row>
    <row r="17" ht="30" customHeight="1" s="36">
      <c r="A17" s="20" t="n"/>
      <c r="B17" s="20" t="n"/>
      <c r="C17" s="20" t="n"/>
      <c r="D17" s="23" t="n"/>
      <c r="E17" s="23" t="n"/>
      <c r="F17" s="20" t="n"/>
      <c r="G17" s="20" t="n"/>
      <c r="H17" s="20" t="n"/>
      <c r="I17" s="23" t="n"/>
      <c r="J17" s="26" t="inlineStr">
        <is>
          <t>Claude soạn khối targets trong models.yaml và .env.example; không đụng .env thật.</t>
        </is>
      </c>
      <c r="K17" s="28" t="n">
        <v>3</v>
      </c>
    </row>
    <row r="18" ht="30" customHeight="1" s="36">
      <c r="A18" s="20" t="n"/>
      <c r="B18" s="20" t="n"/>
      <c r="C18" s="20" t="n"/>
      <c r="D18" s="23" t="n"/>
      <c r="E18" s="23" t="n"/>
      <c r="F18" s="20" t="n"/>
      <c r="G18" s="20" t="n"/>
      <c r="H18" s="20" t="n"/>
      <c r="I18" s="23" t="n"/>
      <c r="J18" s="26" t="inlineStr">
        <is>
          <t>Claude dựng bảng tính chi phí theo công thức; TA tra đơn giá thật trên dashboard.</t>
        </is>
      </c>
      <c r="K18" s="28" t="n">
        <v>3</v>
      </c>
    </row>
    <row r="19" ht="30" customHeight="1" s="36">
      <c r="A19" s="21" t="n">
        <v>16</v>
      </c>
      <c r="B19" s="21" t="inlineStr">
        <is>
          <t>ND2</t>
        </is>
      </c>
      <c r="C19" s="21" t="inlineStr">
        <is>
          <t>Tuần 5</t>
        </is>
      </c>
      <c r="D19" s="24" t="inlineStr">
        <is>
          <t>Viết báo cáo: chương 2 cơ sở lý thuyết (MCP, RAG, cơ chế IPI) và phân tích công trình liên quan</t>
        </is>
      </c>
      <c r="E19" s="24" t="inlineStr">
        <is>
          <t>Nháp chương 2</t>
        </is>
      </c>
      <c r="F19" s="21" t="inlineStr">
        <is>
          <t>05/10/2026</t>
        </is>
      </c>
      <c r="G19" s="21" t="inlineStr">
        <is>
          <t>11/10/2026</t>
        </is>
      </c>
      <c r="H19" s="21" t="inlineStr">
        <is>
          <t>Chưa bắt đầu</t>
        </is>
      </c>
      <c r="I19" s="24" t="inlineStr">
        <is>
          <t>P1</t>
        </is>
      </c>
      <c r="J19" s="26" t="inlineStr">
        <is>
          <t>Claude chuyển ghi chú kỹ thuật thành chương 2; TA kiểm lại từng trích dẫn.</t>
        </is>
      </c>
      <c r="K19" s="28" t="n">
        <v>8</v>
      </c>
    </row>
    <row r="20" ht="20" customHeight="1" s="36">
      <c r="A20" s="32" t="inlineStr">
        <is>
          <t>ND3 · Phân tích thiết kế — Tuần 6–8 (12/10/2026 → 01/11/2026)</t>
        </is>
      </c>
      <c r="B20" s="33" t="n"/>
      <c r="C20" s="33" t="n"/>
      <c r="D20" s="33" t="n"/>
      <c r="E20" s="33" t="n"/>
      <c r="F20" s="33" t="n"/>
      <c r="G20" s="33" t="n"/>
      <c r="H20" s="33" t="n"/>
      <c r="I20" s="33" t="n"/>
      <c r="J20" s="34" t="n"/>
    </row>
    <row r="21" ht="30" customHeight="1" s="36">
      <c r="A21" s="20" t="n">
        <v>17</v>
      </c>
      <c r="B21" s="20" t="inlineStr">
        <is>
          <t>ND3</t>
        </is>
      </c>
      <c r="C21" s="20" t="inlineStr">
        <is>
          <t>Tuần 6</t>
        </is>
      </c>
      <c r="D21" s="23" t="inlineStr">
        <is>
          <t>Thiết kế kiến trúc testbed 5 tầng: lõi agent · tầng công cụ MCP · kho tri thức · tầng phòng thủ · tầng đo lường; định nghĩa điểm móc (hook) để cắm phòng thủ</t>
        </is>
      </c>
      <c r="E21" s="23" t="inlineStr">
        <is>
          <t>Hình kiến trúc + đặc tả interface</t>
        </is>
      </c>
      <c r="F21" s="20" t="inlineStr">
        <is>
          <t>12/10/2026</t>
        </is>
      </c>
      <c r="G21" s="20" t="inlineStr">
        <is>
          <t>18/10/2026</t>
        </is>
      </c>
      <c r="H21" s="20" t="inlineStr">
        <is>
          <t>Xong</t>
        </is>
      </c>
      <c r="I21" s="23" t="inlineStr">
        <is>
          <t>config/ là hợp đồng, viết trước src/</t>
        </is>
      </c>
      <c r="J21" s="26" t="inlineStr">
        <is>
          <t>Claude đề xuất 2–3 phương án kiến trúc kèm đánh đổi để TA chọn, rồi viết đặc tả và hình.</t>
        </is>
      </c>
      <c r="K21" s="28" t="n">
        <v>8</v>
      </c>
    </row>
    <row r="22" ht="30" customHeight="1" s="36">
      <c r="A22" s="20" t="n">
        <v>18</v>
      </c>
      <c r="B22" s="20" t="inlineStr">
        <is>
          <t>ND3</t>
        </is>
      </c>
      <c r="C22" s="20" t="inlineStr">
        <is>
          <t>Tuần 6</t>
        </is>
      </c>
      <c r="D22" s="23" t="inlineStr">
        <is>
          <t>Thiết kế bộ đo: 60 câu hỏi lành tính nhóm U1–U5, 6 tác vụ chở CT-01–CT-06, tiêu chí thành công kiểm được bằng chương trình dựa trên canary</t>
        </is>
      </c>
      <c r="E22" s="23" t="inlineStr">
        <is>
          <t>data/benign_queries.json + data/carrier_tasks.json</t>
        </is>
      </c>
      <c r="F22" s="20" t="inlineStr">
        <is>
          <t>12/10/2026</t>
        </is>
      </c>
      <c r="G22" s="20" t="inlineStr">
        <is>
          <t>18/10/2026</t>
        </is>
      </c>
      <c r="H22" s="20" t="inlineStr">
        <is>
          <t>Xong</t>
        </is>
      </c>
      <c r="I22" s="23" t="inlineStr">
        <is>
          <t>QUY TẮC CỨNG #1: không sửa/khóa theo quy tắc cứng #1</t>
        </is>
      </c>
      <c r="J22" s="26" t="inlineStr">
        <is>
          <t>Đã khóa — chỉ dùng Claude kiểm tính nhất quán, không cho sửa file.</t>
        </is>
      </c>
      <c r="K22" s="27" t="n">
        <v>10</v>
      </c>
    </row>
    <row r="23" ht="30" customHeight="1" s="36">
      <c r="A23" s="20" t="n">
        <v>19</v>
      </c>
      <c r="B23" s="20" t="inlineStr">
        <is>
          <t>ND3</t>
        </is>
      </c>
      <c r="C23" s="20" t="inlineStr">
        <is>
          <t>Tuần 6</t>
        </is>
      </c>
      <c r="D23" s="23" t="inlineStr">
        <is>
          <t>Thiết kế lược đồ lưu vết chạy, bắt buộc có trường blocked_by ∈ {defense, model_refusal, harness} để tách phòng thủ với model tự từ chối</t>
        </is>
      </c>
      <c r="E23" s="23" t="inlineStr">
        <is>
          <t>Đặc tả trace schema</t>
        </is>
      </c>
      <c r="F23" s="20" t="inlineStr">
        <is>
          <t>12/10/2026</t>
        </is>
      </c>
      <c r="G23" s="20" t="inlineStr">
        <is>
          <t>18/10/2026</t>
        </is>
      </c>
      <c r="H23" s="20" t="inlineStr">
        <is>
          <t>Xong</t>
        </is>
      </c>
      <c r="I23" s="23" t="inlineStr">
        <is>
          <t>QUY TẮC CỨNG #8</t>
        </is>
      </c>
      <c r="J23" s="26" t="inlineStr">
        <is>
          <t>Claude sinh lược đồ SQLModel và viết test khẳng định blocked_by là trường bắt buộc.</t>
        </is>
      </c>
      <c r="K23" s="27" t="n">
        <v>3</v>
      </c>
    </row>
    <row r="24" ht="30" customHeight="1" s="36">
      <c r="A24" s="21" t="n">
        <v>20</v>
      </c>
      <c r="B24" s="21" t="inlineStr">
        <is>
          <t>ND3</t>
        </is>
      </c>
      <c r="C24" s="21" t="inlineStr">
        <is>
          <t>Tuần 7</t>
        </is>
      </c>
      <c r="D24" s="24" t="inlineStr">
        <is>
          <t>Đặc tả 8 kỹ thuật tấn công T1–T8 (5 kỹ thuật từ khảo sát + 3 kỹ thuật tự đề xuất) và 4 cơ chế phòng thủ D1–D4</t>
        </is>
      </c>
      <c r="E24" s="24" t="inlineStr">
        <is>
          <t>Đặc tả kỹ thuật tấn công + phòng thủ</t>
        </is>
      </c>
      <c r="F24" s="21" t="inlineStr">
        <is>
          <t>19/10/2026</t>
        </is>
      </c>
      <c r="G24" s="21" t="inlineStr">
        <is>
          <t>25/10/2026</t>
        </is>
      </c>
      <c r="H24" s="20" t="inlineStr">
        <is>
          <t>Xong (đặc tả)</t>
        </is>
      </c>
      <c r="I24" s="24" t="inlineStr">
        <is>
          <t>Đặc tả T1–T8 + D1–D4 xong (payload_taxonomy.md, defense_spec.md). Phần code: validator schema.py + 17 payload mẫu (đủ 8 kỹ thuật) + worksheet + hướng dẫn, validate 20 test xanh. CÒN: GVHD rà câu chữ payload; tập payload đầy đủ + pilot defense=OFF (chặn bởi lõi agent STT-26) + gán nhãn kép κ≥0,80 + khóa v-attack-1.0.</t>
        </is>
      </c>
      <c r="J24" s="26" t="inlineStr">
        <is>
          <t>Claude viết đặc tả T1–T8, D1–D4 theo một mẫu thống nhất; TA chốt ranh giới để không trùng.</t>
        </is>
      </c>
      <c r="K24" s="28" t="n">
        <v>8</v>
      </c>
    </row>
    <row r="25" ht="30" customHeight="1" s="36">
      <c r="A25" s="21" t="n">
        <v>21</v>
      </c>
      <c r="B25" s="21" t="inlineStr">
        <is>
          <t>ND3</t>
        </is>
      </c>
      <c r="C25" s="21" t="inlineStr">
        <is>
          <t>Tuần 7</t>
        </is>
      </c>
      <c r="D25" s="24" t="inlineStr">
        <is>
          <t>Lập ma trận dự đoán kỹ thuật × phòng thủ, GHI TRƯỚC khi chạy thực nghiệm để tránh diễn giải hậu nghiệm</t>
        </is>
      </c>
      <c r="E25" s="24" t="inlineStr">
        <is>
          <t>Bảng dự đoán (chốt ngày, không sửa sau)</t>
        </is>
      </c>
      <c r="F25" s="21" t="inlineStr">
        <is>
          <t>19/10/2026</t>
        </is>
      </c>
      <c r="G25" s="21" t="inlineStr">
        <is>
          <t>25/10/2026</t>
        </is>
      </c>
      <c r="H25" s="21" t="inlineStr">
        <is>
          <t>Chưa bắt đầu</t>
        </is>
      </c>
      <c r="I25" s="24" t="n"/>
      <c r="J25" s="26" t="inlineStr">
        <is>
          <t>TA điền dự đoán trước, rồi hỏi Claude dự đoán độc lập; so hai bản để lộ giả định chưa kiểm.</t>
        </is>
      </c>
      <c r="K25" s="28" t="n">
        <v>4</v>
      </c>
    </row>
    <row r="26" ht="30" customHeight="1" s="36">
      <c r="A26" s="21" t="n">
        <v>22</v>
      </c>
      <c r="B26" s="21" t="inlineStr">
        <is>
          <t>ND3</t>
        </is>
      </c>
      <c r="C26" s="21" t="inlineStr">
        <is>
          <t>Tuần 7</t>
        </is>
      </c>
      <c r="D26" s="24" t="inlineStr">
        <is>
          <t>Thiết kế cơ sở dữ liệu khách hàng mô phỏng customers.db: lược đồ bảng, sinh bằng Faker vi_VN với seed cố định</t>
        </is>
      </c>
      <c r="E26" s="24" t="inlineStr">
        <is>
          <t>Lược đồ + script sinh dữ liệu</t>
        </is>
      </c>
      <c r="F26" s="21" t="inlineStr">
        <is>
          <t>19/10/2026</t>
        </is>
      </c>
      <c r="G26" s="21" t="inlineStr">
        <is>
          <t>25/10/2026</t>
        </is>
      </c>
      <c r="H26" s="21" t="inlineStr">
        <is>
          <t>Chưa bắt đầu</t>
        </is>
      </c>
      <c r="I26" s="24" t="inlineStr">
        <is>
          <t>QUY TẮC CỨNG #6: tuyệt đối không dùng dữ liệu khách hàng thật</t>
        </is>
      </c>
      <c r="J26" s="26" t="inlineStr">
        <is>
          <t>Claude viết script Faker vi_VN seed cố định; nhắc ràng buộc không dùng dữ liệu thật.</t>
        </is>
      </c>
      <c r="K26" s="28" t="n">
        <v>4</v>
      </c>
    </row>
    <row r="27" ht="30" customHeight="1" s="36">
      <c r="A27" s="21" t="n">
        <v>23</v>
      </c>
      <c r="B27" s="21" t="inlineStr">
        <is>
          <t>ND3</t>
        </is>
      </c>
      <c r="C27" s="21" t="inlineStr">
        <is>
          <t>Tuần 8</t>
        </is>
      </c>
      <c r="D27" s="30" t="inlineStr">
        <is>
          <t>Thiết kế giao diện dashboard 4 trang: bảng ASR · biểu đồ đánh đổi · trace viewer · công tắc phòng thủ trực tiếp</t>
        </is>
      </c>
      <c r="E27" s="30" t="inlineStr">
        <is>
          <t>Wireframe + đặc tả trang</t>
        </is>
      </c>
      <c r="F27" s="21" t="inlineStr">
        <is>
          <t>26/10/2026</t>
        </is>
      </c>
      <c r="G27" s="21" t="inlineStr">
        <is>
          <t>01/11/2026</t>
        </is>
      </c>
      <c r="H27" s="31" t="inlineStr">
        <is>
          <t>Đã cắt</t>
        </is>
      </c>
      <c r="I27" s="24" t="inlineStr">
        <is>
          <t>Bỏ wireframe, dựng thẳng dashboard ở STT 58</t>
        </is>
      </c>
      <c r="J27" s="26" t="inlineStr">
        <is>
          <t>Đã cắt khỏi kế hoạch.</t>
        </is>
      </c>
      <c r="K27" s="28" t="n">
        <v>0</v>
      </c>
    </row>
    <row r="28" ht="30" customHeight="1" s="36">
      <c r="A28" s="21" t="n">
        <v>24</v>
      </c>
      <c r="B28" s="21" t="inlineStr">
        <is>
          <t>ND3</t>
        </is>
      </c>
      <c r="C28" s="21" t="inlineStr">
        <is>
          <t>Tuần 8</t>
        </is>
      </c>
      <c r="D28" s="24" t="inlineStr">
        <is>
          <t>Thiết kế giao thức thực nghiệm: bảng biến, cỡ mẫu, tham số cố định, quy trình hiệu chỉnh độ khó, quy tắc dừng và cắt giảm khi hụt giờ</t>
        </is>
      </c>
      <c r="E28" s="24" t="inlineStr">
        <is>
          <t>config/experiment.yaml (khung) + giao thức</t>
        </is>
      </c>
      <c r="F28" s="21" t="inlineStr">
        <is>
          <t>26/10/2026</t>
        </is>
      </c>
      <c r="G28" s="21" t="inlineStr">
        <is>
          <t>01/11/2026</t>
        </is>
      </c>
      <c r="H28" s="21" t="inlineStr">
        <is>
          <t>Chưa bắt đầu</t>
        </is>
      </c>
      <c r="I28" s="24" t="inlineStr">
        <is>
          <t>Ghi trước, không chỉnh sau khi đã thấy kết quả</t>
        </is>
      </c>
      <c r="J28" s="26" t="inlineStr">
        <is>
          <t>Claude rà giao thức thực nghiệm tìm biến gây nhiễu và chỗ dễ diễn giải hậu nghiệm.</t>
        </is>
      </c>
      <c r="K28" s="28" t="n">
        <v>5</v>
      </c>
    </row>
    <row r="29" ht="60" customHeight="1" s="36">
      <c r="A29" s="21" t="n">
        <v>97</v>
      </c>
      <c r="B29" s="21" t="inlineStr">
        <is>
          <t>ND3</t>
        </is>
      </c>
      <c r="C29" s="21" t="inlineStr">
        <is>
          <t>Tuần 8</t>
        </is>
      </c>
      <c r="D29" s="24" t="inlineStr">
        <is>
          <t>Soạn đặc tả chỉ số đo: công thức ASR đầu-cuối, ASR có điều kiện, khoảng tin cậy Wilson 95%, DSR, USR, FRR, TCP, refusal_rate; ví dụ tính tay từng chỉ số; định nghĩa cổng kiểm chứng bộ chấm (8 ca thử ở STT 36)</t>
        </is>
      </c>
      <c r="E29" s="24" t="inlineStr">
        <is>
          <t>docs/04. Design/03. Chỉ số đo.md</t>
        </is>
      </c>
      <c r="F29" s="21" t="inlineStr">
        <is>
          <t>26/10/2026</t>
        </is>
      </c>
      <c r="G29" s="21" t="inlineStr">
        <is>
          <t>01/11/2026</t>
        </is>
      </c>
      <c r="H29" s="21" t="inlineStr">
        <is>
          <t>Chưa bắt đầu</t>
        </is>
      </c>
      <c r="I29" s="24" t="inlineStr">
        <is>
          <t>Làm trước STT 36 (cổng kiểm chứng bộ chấm) và STT 67 (hiện thực metrics.py). STT 97 là số cấp thêm sau khi đã đánh số 1–96, đặt ở đây theo thứ tự thời gian; không đánh số lại để giữ nguyên mã commit.</t>
        </is>
      </c>
      <c r="J29" s="26" t="inlineStr">
        <is>
          <t>Claude soạn công thức và ví dụ tính tay từ định nghĩa ở Mô tả bài toán; TA đối chiếu từng công thức với biến đo đã chốt.</t>
        </is>
      </c>
      <c r="K29" s="28" t="n">
        <v>3</v>
      </c>
    </row>
    <row r="30">
      <c r="A30" s="21" t="n">
        <v>25</v>
      </c>
      <c r="B30" s="21" t="inlineStr">
        <is>
          <t>ND3</t>
        </is>
      </c>
      <c r="C30" s="21" t="inlineStr">
        <is>
          <t>Tuần 8</t>
        </is>
      </c>
      <c r="D30" s="24" t="inlineStr">
        <is>
          <t>Viết báo cáo: chương 3 phần mô hình đe dọa, taxonomy và thiết kế bộ đo</t>
        </is>
      </c>
      <c r="E30" s="24" t="inlineStr">
        <is>
          <t>Nháp chương 3 (phần 1)</t>
        </is>
      </c>
      <c r="F30" s="21" t="inlineStr">
        <is>
          <t>26/10/2026</t>
        </is>
      </c>
      <c r="G30" s="21" t="inlineStr">
        <is>
          <t>01/11/2026</t>
        </is>
      </c>
      <c r="H30" s="21" t="inlineStr">
        <is>
          <t>Chưa bắt đầu</t>
        </is>
      </c>
      <c r="I30" s="24" t="inlineStr">
        <is>
          <t>P1</t>
        </is>
      </c>
      <c r="J30" s="26" t="inlineStr">
        <is>
          <t>Claude ráp ghi chú rời thành chương 3 phần 1; TA viết lại phần luận cứ.</t>
        </is>
      </c>
      <c r="K30" s="28" t="n">
        <v>6</v>
      </c>
    </row>
    <row r="31" ht="20" customHeight="1" s="36">
      <c r="A31" s="32" t="inlineStr">
        <is>
          <t>ND4 · Xây dựng chương trình — Tuần 9–12 (02/11/2026 → 29/11/2026)</t>
        </is>
      </c>
      <c r="B31" s="33" t="n"/>
      <c r="C31" s="33" t="n"/>
      <c r="D31" s="33" t="n"/>
      <c r="E31" s="33" t="n"/>
      <c r="F31" s="33" t="n"/>
      <c r="G31" s="33" t="n"/>
      <c r="H31" s="33" t="n"/>
      <c r="I31" s="33" t="n"/>
      <c r="J31" s="34" t="n"/>
    </row>
    <row r="32" ht="30" customHeight="1" s="36">
      <c r="A32" s="21" t="n">
        <v>26</v>
      </c>
      <c r="B32" s="21" t="inlineStr">
        <is>
          <t>ND4</t>
        </is>
      </c>
      <c r="C32" s="21" t="inlineStr">
        <is>
          <t>Tuần 9</t>
        </is>
      </c>
      <c r="D32" s="24" t="inlineStr">
        <is>
          <t>Lõi agent: vòng lặp gọi LLM → thực thi tool_calls → đưa kết quả vào messages → lặp (tối đa 8 vòng), có hook trước/sau mỗi bước để cắm phòng thủ</t>
        </is>
      </c>
      <c r="E32" s="24" t="inlineStr">
        <is>
          <t>src/agent/core.py</t>
        </is>
      </c>
      <c r="F32" s="21" t="inlineStr">
        <is>
          <t>02/11/2026</t>
        </is>
      </c>
      <c r="G32" s="21" t="inlineStr">
        <is>
          <t>08/11/2026</t>
        </is>
      </c>
      <c r="H32" s="21" t="inlineStr">
        <is>
          <t>Chưa bắt đầu</t>
        </is>
      </c>
      <c r="I32" s="24" t="n"/>
      <c r="J32" s="26" t="inlineStr">
        <is>
          <t>Claude sinh khung vòng lặp agent và vị trí hook, viết test trước; TA kiểm logic dừng và lỗi.</t>
        </is>
      </c>
      <c r="K32" s="28" t="n">
        <v>4</v>
      </c>
    </row>
    <row r="33" ht="30" customHeight="1" s="36">
      <c r="A33" s="21" t="n">
        <v>27</v>
      </c>
      <c r="B33" s="21" t="inlineStr">
        <is>
          <t>ND4</t>
        </is>
      </c>
      <c r="C33" s="21" t="inlineStr">
        <is>
          <t>Tuần 9</t>
        </is>
      </c>
      <c r="D33" s="24" t="inlineStr">
        <is>
          <t>Tool registry: 5 tool schema chuẩn function-calling, tách description ra nguồn thay được (để injector K2a tiêm sau), gắn nhãn rủi ro read/write/external</t>
        </is>
      </c>
      <c r="E33" s="24" t="inlineStr">
        <is>
          <t>src/tools/registry.py</t>
        </is>
      </c>
      <c r="F33" s="21" t="inlineStr">
        <is>
          <t>02/11/2026</t>
        </is>
      </c>
      <c r="G33" s="21" t="inlineStr">
        <is>
          <t>08/11/2026</t>
        </is>
      </c>
      <c r="H33" s="21" t="inlineStr">
        <is>
          <t>Chưa bắt đầu</t>
        </is>
      </c>
      <c r="I33" s="24" t="n"/>
      <c r="J33" s="26" t="inlineStr">
        <is>
          <t>Claude sinh 5 schema tool và nhãn rủi ro trong một lượt từ bảng đặc tả.</t>
        </is>
      </c>
      <c r="K33" s="28" t="n">
        <v>2</v>
      </c>
    </row>
    <row r="34" ht="30" customHeight="1" s="36">
      <c r="A34" s="21" t="n">
        <v>28</v>
      </c>
      <c r="B34" s="21" t="inlineStr">
        <is>
          <t>ND4</t>
        </is>
      </c>
      <c r="C34" s="21" t="inlineStr">
        <is>
          <t>Tuần 9</t>
        </is>
      </c>
      <c r="D34" s="24" t="inlineStr">
        <is>
          <t>MCP server: phơi 5 công cụ qua stdio + HTTP bằng MCP Python SDK, agent lấy danh sách công cụ ĐỘNG</t>
        </is>
      </c>
      <c r="E34" s="24" t="inlineStr">
        <is>
          <t>src/tools/mcp_server.py</t>
        </is>
      </c>
      <c r="F34" s="21" t="inlineStr">
        <is>
          <t>02/11/2026</t>
        </is>
      </c>
      <c r="G34" s="21" t="inlineStr">
        <is>
          <t>08/11/2026</t>
        </is>
      </c>
      <c r="H34" s="21" t="inlineStr">
        <is>
          <t>Chưa bắt đầu</t>
        </is>
      </c>
      <c r="I34" s="24" t="inlineStr">
        <is>
          <t>Nền tảng cho cả tấn công K2a và cắm harness ở ND6</t>
        </is>
      </c>
      <c r="J34" s="26" t="inlineStr">
        <is>
          <t>Claude viết MCP server theo SDK (Context7 lấy đúng API); test bằng client thật.</t>
        </is>
      </c>
      <c r="K34" s="28" t="n">
        <v>4</v>
      </c>
    </row>
    <row r="35" ht="30" customHeight="1" s="36">
      <c r="A35" s="21" t="n">
        <v>29</v>
      </c>
      <c r="B35" s="21" t="inlineStr">
        <is>
          <t>ND4</t>
        </is>
      </c>
      <c r="C35" s="21" t="inlineStr">
        <is>
          <t>Tuần 9</t>
        </is>
      </c>
      <c r="D35" s="24" t="inlineStr">
        <is>
          <t>Công cụ send_email + MailHog: gửi SMTP tới MailHog, đọc lại hộp thư qua API, clear_mailbox() trước mỗi run</t>
        </is>
      </c>
      <c r="E35" s="24" t="inlineStr">
        <is>
          <t>src/tools/send_email.py</t>
        </is>
      </c>
      <c r="F35" s="21" t="inlineStr">
        <is>
          <t>02/11/2026</t>
        </is>
      </c>
      <c r="G35" s="21" t="inlineStr">
        <is>
          <t>08/11/2026</t>
        </is>
      </c>
      <c r="H35" s="21" t="inlineStr">
        <is>
          <t>Chưa bắt đầu</t>
        </is>
      </c>
      <c r="I35" s="24" t="n"/>
      <c r="J35" s="26" t="inlineStr">
        <is>
          <t>Claude sinh code gửi SMTP + đọc MailHog + clear_mailbox — hạ tầng, rủi ro thấp.</t>
        </is>
      </c>
      <c r="K35" s="28" t="n">
        <v>2</v>
      </c>
    </row>
    <row r="36" ht="30" customHeight="1" s="36">
      <c r="A36" s="21" t="n">
        <v>30</v>
      </c>
      <c r="B36" s="21" t="inlineStr">
        <is>
          <t>ND4</t>
        </is>
      </c>
      <c r="C36" s="21" t="inlineStr">
        <is>
          <t>Tuần 9</t>
        </is>
      </c>
      <c r="D36" s="24" t="inlineStr">
        <is>
          <t>Ba công cụ còn lại: http_request (ghi URL + body vào trace), query_customer_db (≤20 bản ghi), create_ticket; mọi tham số ghi vào trace</t>
        </is>
      </c>
      <c r="E36" s="24" t="inlineStr">
        <is>
          <t>src/tools/*.py</t>
        </is>
      </c>
      <c r="F36" s="21" t="inlineStr">
        <is>
          <t>02/11/2026</t>
        </is>
      </c>
      <c r="G36" s="21" t="inlineStr">
        <is>
          <t>08/11/2026</t>
        </is>
      </c>
      <c r="H36" s="21" t="inlineStr">
        <is>
          <t>Chưa bắt đầu</t>
        </is>
      </c>
      <c r="I36" s="24" t="n"/>
      <c r="J36" s="26" t="inlineStr">
        <is>
          <t>Claude sinh cả ba tool đồng dạng cùng lúc theo một mẫu, ghi trace đầy đủ tham số.</t>
        </is>
      </c>
      <c r="K36" s="28" t="n">
        <v>3</v>
      </c>
    </row>
    <row r="37" ht="30" customHeight="1" s="36">
      <c r="A37" s="21" t="n">
        <v>31</v>
      </c>
      <c r="B37" s="21" t="inlineStr">
        <is>
          <t>ND4</t>
        </is>
      </c>
      <c r="C37" s="21" t="inlineStr">
        <is>
          <t>Tuần 9</t>
        </is>
      </c>
      <c r="D37" s="24" t="inlineStr">
        <is>
          <t>System prompt trợ lý nội bộ mô tả 5 công cụ, có placeholder canary; bản mặc định KHÔNG phòng thủ (baseline dễ tổn thương có chủ đích)</t>
        </is>
      </c>
      <c r="E37" s="24" t="inlineStr">
        <is>
          <t>src/agent/prompts.py</t>
        </is>
      </c>
      <c r="F37" s="21" t="inlineStr">
        <is>
          <t>02/11/2026</t>
        </is>
      </c>
      <c r="G37" s="21" t="inlineStr">
        <is>
          <t>08/11/2026</t>
        </is>
      </c>
      <c r="H37" s="21" t="inlineStr">
        <is>
          <t>Chưa bắt đầu</t>
        </is>
      </c>
      <c r="I37" s="24" t="inlineStr">
        <is>
          <t>Tham số 'độ cả tin' tách ra config để hiệu chỉnh ở ND5</t>
        </is>
      </c>
      <c r="J37" s="26" t="inlineStr">
        <is>
          <t>Claude soạn nhiều biến thể system prompt theo mức độ cả tin để TA chọn baseline.</t>
        </is>
      </c>
      <c r="K37" s="28" t="n">
        <v>3</v>
      </c>
    </row>
    <row r="38" ht="30" customHeight="1" s="36">
      <c r="A38" s="21" t="n">
        <v>32</v>
      </c>
      <c r="B38" s="21" t="inlineStr">
        <is>
          <t>ND4</t>
        </is>
      </c>
      <c r="C38" s="21" t="inlineStr">
        <is>
          <t>Tuần 10</t>
        </is>
      </c>
      <c r="D38" s="24" t="inlineStr">
        <is>
          <t>Trace store: hiện thực SQLModel theo lược đồ đã thiết kế + context manager TraceRecorder + export_runs(filters) → DataFrame</t>
        </is>
      </c>
      <c r="E38" s="24" t="inlineStr">
        <is>
          <t>src/obs/trace.py + test</t>
        </is>
      </c>
      <c r="F38" s="21" t="inlineStr">
        <is>
          <t>09/11/2026</t>
        </is>
      </c>
      <c r="G38" s="21" t="inlineStr">
        <is>
          <t>15/11/2026</t>
        </is>
      </c>
      <c r="H38" s="21" t="inlineStr">
        <is>
          <t>Chưa bắt đầu</t>
        </is>
      </c>
      <c r="I38" s="24" t="n"/>
      <c r="J38" s="26" t="inlineStr">
        <is>
          <t>Claude sinh SQLModel + TraceRecorder + export_runs và pytest; kiểm bằng test.</t>
        </is>
      </c>
      <c r="K38" s="28" t="n">
        <v>3</v>
      </c>
    </row>
    <row r="39" ht="30" customHeight="1" s="36">
      <c r="A39" s="21" t="n">
        <v>33</v>
      </c>
      <c r="B39" s="21" t="inlineStr">
        <is>
          <t>ND4</t>
        </is>
      </c>
      <c r="C39" s="21" t="inlineStr">
        <is>
          <t>Tuần 10</t>
        </is>
      </c>
      <c r="D39" s="24" t="inlineStr">
        <is>
          <t>Canary generator: sinh mã canary theo run, gieo 3 nơi (system prompt · customers.db · URL listener), dọn sau mỗi run</t>
        </is>
      </c>
      <c r="E39" s="24" t="inlineStr">
        <is>
          <t>src/eval/canary.py</t>
        </is>
      </c>
      <c r="F39" s="21" t="inlineStr">
        <is>
          <t>09/11/2026</t>
        </is>
      </c>
      <c r="G39" s="21" t="inlineStr">
        <is>
          <t>15/11/2026</t>
        </is>
      </c>
      <c r="H39" s="21" t="inlineStr">
        <is>
          <t>Chưa bắt đầu</t>
        </is>
      </c>
      <c r="I39" s="24" t="n"/>
      <c r="J39" s="26" t="inlineStr">
        <is>
          <t>Claude viết bộ sinh/dọn canary và liệt kê các đường rò có thể bỏ sót.</t>
        </is>
      </c>
      <c r="K39" s="28" t="n">
        <v>2</v>
      </c>
    </row>
    <row r="40" ht="30" customHeight="1" s="36">
      <c r="A40" s="21" t="n">
        <v>34</v>
      </c>
      <c r="B40" s="21" t="inlineStr">
        <is>
          <t>ND4</t>
        </is>
      </c>
      <c r="C40" s="21" t="inlineStr">
        <is>
          <t>Tuần 10</t>
        </is>
      </c>
      <c r="D40" s="24" t="inlineStr">
        <is>
          <t>Canary listener: FastAPI bắt mọi path /{token}, ghi SQLite (thời điểm/token/IP/URL/headers/body), endpoint /hits</t>
        </is>
      </c>
      <c r="E40" s="24" t="inlineStr">
        <is>
          <t>src/obs/canary_listener.py</t>
        </is>
      </c>
      <c r="F40" s="21" t="inlineStr">
        <is>
          <t>09/11/2026</t>
        </is>
      </c>
      <c r="G40" s="21" t="inlineStr">
        <is>
          <t>15/11/2026</t>
        </is>
      </c>
      <c r="H40" s="21" t="inlineStr">
        <is>
          <t>Chưa bắt đầu</t>
        </is>
      </c>
      <c r="I40" s="24" t="n"/>
      <c r="J40" s="26" t="inlineStr">
        <is>
          <t>Claude sinh FastAPI listener và lược đồ SQLite trong một lượt.</t>
        </is>
      </c>
      <c r="K40" s="28" t="n">
        <v>2</v>
      </c>
    </row>
    <row r="41" ht="45" customHeight="1" s="36">
      <c r="A41" s="21" t="n">
        <v>35</v>
      </c>
      <c r="B41" s="21" t="inlineStr">
        <is>
          <t>ND4</t>
        </is>
      </c>
      <c r="C41" s="21" t="inlineStr">
        <is>
          <t>Tuần 10</t>
        </is>
      </c>
      <c r="D41" s="24" t="inlineStr">
        <is>
          <t>Bộ chấm điểm tất định: dò canary tại 4 điểm (câu trả lời / mail / listener / tham số tool) kể cả biến thể base64-hex; G2 so tool-call thực tế với allowed_actions; G3 chấm 0–2; phân định blocked_by</t>
        </is>
      </c>
      <c r="E41" s="24" t="inlineStr">
        <is>
          <t>src/eval/scorer.py</t>
        </is>
      </c>
      <c r="F41" s="21" t="inlineStr">
        <is>
          <t>09/11/2026</t>
        </is>
      </c>
      <c r="G41" s="21" t="inlineStr">
        <is>
          <t>15/11/2026</t>
        </is>
      </c>
      <c r="H41" s="21" t="inlineStr">
        <is>
          <t>Chưa bắt đầu</t>
        </is>
      </c>
      <c r="I41" s="24" t="n"/>
      <c r="J41" s="26" t="inlineStr">
        <is>
          <t>TA định nghĩa tiêu chí chấm, Claude hiện thực hàm dò và viết test; không để Claude tự quyết tiêu chí.</t>
        </is>
      </c>
      <c r="K41" s="28" t="n">
        <v>4</v>
      </c>
    </row>
    <row r="42" ht="30" customHeight="1" s="36">
      <c r="A42" s="21" t="n">
        <v>36</v>
      </c>
      <c r="B42" s="21" t="inlineStr">
        <is>
          <t>ND4</t>
        </is>
      </c>
      <c r="C42" s="21" t="inlineStr">
        <is>
          <t>Tuần 10</t>
        </is>
      </c>
      <c r="D42" s="24" t="inlineStr">
        <is>
          <t>KIỂM CHỨNG BỘ CHẤM (cổng bắt buộc): dựng 8 ca thử thủ công, chạy scorer khẳng định đúng 8/8, viết pytest</t>
        </is>
      </c>
      <c r="E42" s="24" t="inlineStr">
        <is>
          <t>tests/test_scorer.py</t>
        </is>
      </c>
      <c r="F42" s="21" t="inlineStr">
        <is>
          <t>09/11/2026</t>
        </is>
      </c>
      <c r="G42" s="21" t="inlineStr">
        <is>
          <t>15/11/2026</t>
        </is>
      </c>
      <c r="H42" s="21" t="inlineStr">
        <is>
          <t>Chưa bắt đầu</t>
        </is>
      </c>
      <c r="I42" s="24" t="inlineStr">
        <is>
          <t>QUY TẮC CỨNG #5: sai 1 ca là chưa đạt, KHÔNG được đi tiếp</t>
        </is>
      </c>
      <c r="J42" s="26" t="inlineStr">
        <is>
          <t>CỔNG — TA tự viết 8 ca thử và đáp án kỳ vọng; Claude chỉ hiện thực pytest.</t>
        </is>
      </c>
      <c r="K42" s="28" t="n">
        <v>4</v>
      </c>
    </row>
    <row r="43" ht="30" customHeight="1" s="36">
      <c r="A43" s="21" t="n">
        <v>37</v>
      </c>
      <c r="B43" s="21" t="inlineStr">
        <is>
          <t>ND4</t>
        </is>
      </c>
      <c r="C43" s="21" t="inlineStr">
        <is>
          <t>Tuần 10</t>
        </is>
      </c>
      <c r="D43" s="24" t="inlineStr">
        <is>
          <t>Chạy USR nền: 60 câu lành tính × 3 model × 3 lần, phòng thủ TẮT; soát tay 5 câu để kiểm bộ chấm hữu dụng</t>
        </is>
      </c>
      <c r="E43" s="24" t="inlineStr">
        <is>
          <t>results/tables/utility_baseline.csv</t>
        </is>
      </c>
      <c r="F43" s="21" t="inlineStr">
        <is>
          <t>09/11/2026</t>
        </is>
      </c>
      <c r="G43" s="21" t="inlineStr">
        <is>
          <t>15/11/2026</t>
        </is>
      </c>
      <c r="H43" s="21" t="inlineStr">
        <is>
          <t>Chưa bắt đầu</t>
        </is>
      </c>
      <c r="I43" s="24" t="inlineStr">
        <is>
          <t>Mọi số hữu dụng về sau so với mốc này</t>
        </is>
      </c>
      <c r="J43" s="26" t="inlineStr">
        <is>
          <t>Claude viết script chạy lô và tổng hợp CSV; TA soát tay 5 câu chấm sai.</t>
        </is>
      </c>
      <c r="K43" s="28" t="n">
        <v>2</v>
      </c>
    </row>
    <row r="44" ht="30" customHeight="1" s="36">
      <c r="A44" s="21" t="n">
        <v>38</v>
      </c>
      <c r="B44" s="21" t="inlineStr">
        <is>
          <t>ND4</t>
        </is>
      </c>
      <c r="C44" s="21" t="inlineStr">
        <is>
          <t>Tuần 11</t>
        </is>
      </c>
      <c r="D44" s="24" t="inlineStr">
        <is>
          <t>Adapter AgentDojo: đọc format injection task, trích payload/kỹ thuật/mục tiêu/tác vụ chở, đổ vào lược đồ riêng, điền source và đánh dấu payload bị coupling ngữ nghĩa</t>
        </is>
      </c>
      <c r="E44" s="24" t="inlineStr">
        <is>
          <t>src/attack/adapters/agentdojo.py</t>
        </is>
      </c>
      <c r="F44" s="21" t="inlineStr">
        <is>
          <t>16/11/2026</t>
        </is>
      </c>
      <c r="G44" s="21" t="inlineStr">
        <is>
          <t>22/11/2026</t>
        </is>
      </c>
      <c r="H44" s="21" t="inlineStr">
        <is>
          <t>Chưa bắt đầu</t>
        </is>
      </c>
      <c r="I44" s="24" t="inlineStr">
        <is>
          <t>Yêu cầu: ≥100 payload có nguồn gốc + cờ coupling</t>
        </is>
      </c>
      <c r="J44" s="26" t="inlineStr">
        <is>
          <t>Claude viết adapter chuyển đổi dữ liệu benchmark; kiểm bằng số bản ghi trích được.</t>
        </is>
      </c>
      <c r="K44" s="28" t="n">
        <v>3</v>
      </c>
    </row>
    <row r="45" ht="30" customHeight="1" s="36">
      <c r="A45" s="21" t="n">
        <v>39</v>
      </c>
      <c r="B45" s="21" t="inlineStr">
        <is>
          <t>ND4</t>
        </is>
      </c>
      <c r="C45" s="21" t="inlineStr">
        <is>
          <t>Tuần 11</t>
        </is>
      </c>
      <c r="D45" s="24" t="inlineStr">
        <is>
          <t>Adapter MCPTox: trích mẫu tool poisoning, đổ vào lược đồ với source=mcptox:&lt;id&gt;</t>
        </is>
      </c>
      <c r="E45" s="24" t="inlineStr">
        <is>
          <t>src/attack/adapters/mcptox.py</t>
        </is>
      </c>
      <c r="F45" s="21" t="inlineStr">
        <is>
          <t>16/11/2026</t>
        </is>
      </c>
      <c r="G45" s="21" t="inlineStr">
        <is>
          <t>22/11/2026</t>
        </is>
      </c>
      <c r="H45" s="21" t="inlineStr">
        <is>
          <t>Chưa bắt đầu</t>
        </is>
      </c>
      <c r="I45" s="24" t="inlineStr">
        <is>
          <t>QUY TẮC CỨNG #7: chỉ chạy chế độ mô phỏng. Yêu cầu ≥50 payload K2a</t>
        </is>
      </c>
      <c r="J45" s="26" t="inlineStr">
        <is>
          <t>Tương tự adapter trên; nhắc điền đúng source.license, chỉ chế độ mô phỏng.</t>
        </is>
      </c>
      <c r="K45" s="28" t="n">
        <v>3</v>
      </c>
    </row>
    <row r="46" ht="30" customHeight="1" s="36">
      <c r="A46" s="21" t="n">
        <v>40</v>
      </c>
      <c r="B46" s="21" t="inlineStr">
        <is>
          <t>ND4</t>
        </is>
      </c>
      <c r="C46" s="21" t="inlineStr">
        <is>
          <t>Tuần 11</t>
        </is>
      </c>
      <c r="D46" s="24" t="inlineStr">
        <is>
          <t>Bản địa hóa payload: dịch sang tiếng Việt GIỮ NGUYÊN kỹ thuật thao túng, thay bối cảnh Âu-Mỹ bằng công ty phân phối thiết bị, giữ song ngữ vi/en để đo ảnh hưởng ngôn ngữ</t>
        </is>
      </c>
      <c r="E46" s="24" t="inlineStr">
        <is>
          <t>src/attack/payloads/*.yaml</t>
        </is>
      </c>
      <c r="F46" s="21" t="inlineStr">
        <is>
          <t>16/11/2026</t>
        </is>
      </c>
      <c r="G46" s="21" t="inlineStr">
        <is>
          <t>22/11/2026</t>
        </is>
      </c>
      <c r="H46" s="21" t="inlineStr">
        <is>
          <t>Chưa bắt đầu</t>
        </is>
      </c>
      <c r="I46" s="24" t="inlineStr">
        <is>
          <t>Dẫn đúng điều khoản giấy phép qua trường source.license</t>
        </is>
      </c>
      <c r="J46" s="26" t="inlineStr">
        <is>
          <t>Claude hỗ trợ bản địa hóa sang tiếng Việt; TA soát mẫu để chắc chất lượng không bị làm nhẹ.</t>
        </is>
      </c>
      <c r="K46" s="28" t="n">
        <v>4</v>
      </c>
    </row>
    <row r="47" ht="30" customHeight="1" s="36">
      <c r="A47" s="21" t="n">
        <v>41</v>
      </c>
      <c r="B47" s="21" t="inlineStr">
        <is>
          <t>ND4</t>
        </is>
      </c>
      <c r="C47" s="21" t="inlineStr">
        <is>
          <t>Tuần 11</t>
        </is>
      </c>
      <c r="D47" s="24" t="inlineStr">
        <is>
          <t>Mở rộng sang kênh K2: chuyển payload K1 sang K2a/K2b, chỉnh độ dài và định dạng cho vừa trường description/JSON</t>
        </is>
      </c>
      <c r="E47" s="24" t="inlineStr">
        <is>
          <t>src/attack/payloads/ (2 kênh)</t>
        </is>
      </c>
      <c r="F47" s="21" t="inlineStr">
        <is>
          <t>16/11/2026</t>
        </is>
      </c>
      <c r="G47" s="21" t="inlineStr">
        <is>
          <t>22/11/2026</t>
        </is>
      </c>
      <c r="H47" s="21" t="inlineStr">
        <is>
          <t>Chưa bắt đầu</t>
        </is>
      </c>
      <c r="I47" s="24" t="inlineStr">
        <is>
          <t>Yêu cầu: ≥80% kỹ thuật có mặt ở cả 2 kênh</t>
        </is>
      </c>
      <c r="J47" s="26" t="inlineStr">
        <is>
          <t>Claude chuyển dữ liệu sang định dạng kênh K2 và xuất bảng phủ để kiểm chỉ tiêu.</t>
        </is>
      </c>
      <c r="K47" s="28" t="n">
        <v>2</v>
      </c>
    </row>
    <row r="48" ht="30" customHeight="1" s="36">
      <c r="A48" s="21" t="n">
        <v>42</v>
      </c>
      <c r="B48" s="21" t="inlineStr">
        <is>
          <t>ND4</t>
        </is>
      </c>
      <c r="C48" s="21" t="inlineStr">
        <is>
          <t>Tuần 11</t>
        </is>
      </c>
      <c r="D48" s="24" t="inlineStr">
        <is>
          <t>Kỹ thuật T5 và bộ tạo tài liệu ẩn payload: PDF chữ trắng 1pt, biến thể HTML comment / alt-text / metadata / footer; kiểm bằng pdftotext</t>
        </is>
      </c>
      <c r="E48" s="24" t="inlineStr">
        <is>
          <t>scripts/make_hidden_pdf.py + t5_formatting.yaml</t>
        </is>
      </c>
      <c r="F48" s="21" t="inlineStr">
        <is>
          <t>16/11/2026</t>
        </is>
      </c>
      <c r="G48" s="21" t="inlineStr">
        <is>
          <t>22/11/2026</t>
        </is>
      </c>
      <c r="H48" s="21" t="inlineStr">
        <is>
          <t>Chưa bắt đầu</t>
        </is>
      </c>
      <c r="I48" s="24" t="n"/>
      <c r="J48" s="26" t="inlineStr">
        <is>
          <t>Claude viết script reportlab tạo file test và biến thể; TA kiểm bằng công cụ trích văn bản.</t>
        </is>
      </c>
      <c r="K48" s="28" t="n">
        <v>2</v>
      </c>
    </row>
    <row r="49" ht="30" customHeight="1" s="36">
      <c r="A49" s="21" t="n">
        <v>43</v>
      </c>
      <c r="B49" s="21" t="inlineStr">
        <is>
          <t>ND4</t>
        </is>
      </c>
      <c r="C49" s="21" t="inlineStr">
        <is>
          <t>Tuần 11</t>
        </is>
      </c>
      <c r="D49" s="24" t="inlineStr">
        <is>
          <t>Mutator + activation_check: biến đổi theo luật và bằng model; mỗi payload khai tiêu chí kiểm được bằng máy, không thỏa thì loại tự động; lọc trùng theo embedding</t>
        </is>
      </c>
      <c r="E49" s="24" t="inlineStr">
        <is>
          <t>src/attack/mutator.py</t>
        </is>
      </c>
      <c r="F49" s="21" t="inlineStr">
        <is>
          <t>16/11/2026</t>
        </is>
      </c>
      <c r="G49" s="21" t="inlineStr">
        <is>
          <t>22/11/2026</t>
        </is>
      </c>
      <c r="H49" s="21" t="inlineStr">
        <is>
          <t>Chưa bắt đầu</t>
        </is>
      </c>
      <c r="I49" s="24" t="n"/>
      <c r="J49" s="26" t="inlineStr">
        <is>
          <t>Claude viết bộ biến đổi theo luật và hàm activation_check tự loại mẫu không đạt.</t>
        </is>
      </c>
      <c r="K49" s="28" t="n">
        <v>3</v>
      </c>
    </row>
    <row r="50" ht="45" customHeight="1" s="36">
      <c r="A50" s="21" t="n">
        <v>44</v>
      </c>
      <c r="B50" s="21" t="inlineStr">
        <is>
          <t>ND4</t>
        </is>
      </c>
      <c r="C50" s="21" t="inlineStr">
        <is>
          <t>Tuần 11</t>
        </is>
      </c>
      <c r="D50" s="24" t="inlineStr">
        <is>
          <t>Injector kênh K1: nhúng payload vào MD/DOCX/PDF, kiểm top-k rồi ghi delivered=true/false để tách 'không truy hồi được' với 'truy hồi được nhưng không sập bẫy'</t>
        </is>
      </c>
      <c r="E50" s="24" t="inlineStr">
        <is>
          <t>src/attack/injector_k1.py</t>
        </is>
      </c>
      <c r="F50" s="21" t="inlineStr">
        <is>
          <t>16/11/2026</t>
        </is>
      </c>
      <c r="G50" s="21" t="inlineStr">
        <is>
          <t>22/11/2026</t>
        </is>
      </c>
      <c r="H50" s="21" t="inlineStr">
        <is>
          <t>Chưa bắt đầu</t>
        </is>
      </c>
      <c r="I50" s="24" t="inlineStr">
        <is>
          <t>delivered=false phải loại khỏi mẫu ASR có điều kiện</t>
        </is>
      </c>
      <c r="J50" s="26" t="inlineStr">
        <is>
          <t>Claude viết injector K1 và logic ghi cờ delivered; TA kiểm phân biệt hai trường hợp.</t>
        </is>
      </c>
      <c r="K50" s="28" t="n">
        <v>3</v>
      </c>
    </row>
    <row r="51" ht="30" customHeight="1" s="36">
      <c r="A51" s="21" t="n">
        <v>45</v>
      </c>
      <c r="B51" s="21" t="inlineStr">
        <is>
          <t>ND4</t>
        </is>
      </c>
      <c r="C51" s="21" t="inlineStr">
        <is>
          <t>Tuần 11</t>
        </is>
      </c>
      <c r="D51" s="24" t="inlineStr">
        <is>
          <t>Injector kênh K2: K2a ghi đè description 1 tool trước khi lấy tool list; K2b chèn payload vào kết quả trả về; mô phỏng rug-pull</t>
        </is>
      </c>
      <c r="E51" s="24" t="inlineStr">
        <is>
          <t>src/attack/injector_k2.py</t>
        </is>
      </c>
      <c r="F51" s="21" t="inlineStr">
        <is>
          <t>16/11/2026</t>
        </is>
      </c>
      <c r="G51" s="21" t="inlineStr">
        <is>
          <t>22/11/2026</t>
        </is>
      </c>
      <c r="H51" s="21" t="inlineStr">
        <is>
          <t>Chưa bắt đầu</t>
        </is>
      </c>
      <c r="I51" s="24" t="n"/>
      <c r="J51" s="26" t="inlineStr">
        <is>
          <t>Claude viết injector K2 (K2a/K2b) và mô phỏng rug-pull theo đặc tả.</t>
        </is>
      </c>
      <c r="K51" s="28" t="n">
        <v>3</v>
      </c>
    </row>
    <row r="52" ht="30" customHeight="1" s="36">
      <c r="A52" s="21" t="n">
        <v>46</v>
      </c>
      <c r="B52" s="21" t="inlineStr">
        <is>
          <t>ND4</t>
        </is>
      </c>
      <c r="C52" s="21" t="inlineStr">
        <is>
          <t>Tuần 11</t>
        </is>
      </c>
      <c r="D52" s="24" t="inlineStr">
        <is>
          <t>Bộ chạy ma trận thực nghiệm: đọc config/experiment.yaml sinh tích Descartes, có checkpoint và --resume, backoff khi rate-limit, dọn tài liệu và hộp thư trước mỗi run</t>
        </is>
      </c>
      <c r="E52" s="24" t="inlineStr">
        <is>
          <t>src/attack/runner.py</t>
        </is>
      </c>
      <c r="F52" s="21" t="inlineStr">
        <is>
          <t>16/11/2026</t>
        </is>
      </c>
      <c r="G52" s="21" t="inlineStr">
        <is>
          <t>22/11/2026</t>
        </is>
      </c>
      <c r="H52" s="21" t="inlineStr">
        <is>
          <t>Chưa bắt đầu</t>
        </is>
      </c>
      <c r="I52" s="24" t="inlineStr">
        <is>
          <t>Yêu cầu: ngắt giữa chừng rồi --resume không chạy lại phần đã xong</t>
        </is>
      </c>
      <c r="J52" s="26" t="inlineStr">
        <is>
          <t>Claude viết runner ma trận có checkpoint/--resume; kiểm bằng cách ngắt giữa chừng rồi chạy tiếp.</t>
        </is>
      </c>
      <c r="K52" s="28" t="n">
        <v>4</v>
      </c>
    </row>
    <row r="53" ht="30" customHeight="1" s="36">
      <c r="A53" s="21" t="n">
        <v>47</v>
      </c>
      <c r="B53" s="21" t="inlineStr">
        <is>
          <t>ND4</t>
        </is>
      </c>
      <c r="C53" s="21" t="inlineStr">
        <is>
          <t>Tuần 12</t>
        </is>
      </c>
      <c r="D53" s="24" t="inlineStr">
        <is>
          <t>Kỹ thuật T8 — che giấu đặc thù tiếng Việt: biến thể bỏ dấu, telex/VNI, đồng hình Unicode, trộn mã vi-en. Đánh trực diện D2 và các bộ dò huấn luyện trên tiếng Anh</t>
        </is>
      </c>
      <c r="E53" s="24" t="inlineStr">
        <is>
          <t>src/attack/payloads/t8_vietnamese.yaml</t>
        </is>
      </c>
      <c r="F53" s="21" t="inlineStr">
        <is>
          <t>23/11/2026</t>
        </is>
      </c>
      <c r="G53" s="21" t="inlineStr">
        <is>
          <t>29/11/2026</t>
        </is>
      </c>
      <c r="H53" s="21" t="inlineStr">
        <is>
          <t>Chưa bắt đầu</t>
        </is>
      </c>
      <c r="I53" s="24" t="inlineStr">
        <is>
          <t>ĐÓNG GÓP MỚI — biến luận cứ 'bối cảnh tiếng Việt' thành số liệu</t>
        </is>
      </c>
      <c r="J53" s="26" t="inlineStr">
        <is>
          <t>Claude sinh biến thể dữ liệu tiếng Việt (T8) và khai activation_check; TA soát mẫu.</t>
        </is>
      </c>
      <c r="K53" s="28" t="n">
        <v>4</v>
      </c>
    </row>
    <row r="54" ht="30" customHeight="1" s="36">
      <c r="A54" s="21" t="n">
        <v>48</v>
      </c>
      <c r="B54" s="21" t="inlineStr">
        <is>
          <t>ND4</t>
        </is>
      </c>
      <c r="C54" s="21" t="inlineStr">
        <is>
          <t>Tuần 12</t>
        </is>
      </c>
      <c r="D54" s="24" t="inlineStr">
        <is>
          <t>Kỹ thuật T6 — payload chia mảnh qua nhiều tài liệu: tách 1 payload thành ≥2 mảnh, chỉ độc khi retriever gom đủ chunk vào cùng ngữ cảnh</t>
        </is>
      </c>
      <c r="E54" s="24" t="inlineStr">
        <is>
          <t>src/attack/payloads/t6_split.yaml</t>
        </is>
      </c>
      <c r="F54" s="21" t="inlineStr">
        <is>
          <t>23/11/2026</t>
        </is>
      </c>
      <c r="G54" s="21" t="inlineStr">
        <is>
          <t>29/11/2026</t>
        </is>
      </c>
      <c r="H54" s="21" t="inlineStr">
        <is>
          <t>Chưa bắt đầu</t>
        </is>
      </c>
      <c r="I54" s="24" t="inlineStr">
        <is>
          <t>ĐÓNG GÓP MỚI — chỉ ra lỗ hổng kiến trúc của phòng thủ mức tài liệu</t>
        </is>
      </c>
      <c r="J54" s="26" t="inlineStr">
        <is>
          <t>Claude hiện thực T6 chia mảnh theo đặc tả TA chốt.</t>
        </is>
      </c>
      <c r="K54" s="28" t="n">
        <v>5</v>
      </c>
    </row>
    <row r="55" ht="30" customHeight="1" s="36">
      <c r="A55" s="21" t="n">
        <v>49</v>
      </c>
      <c r="B55" s="21" t="inlineStr">
        <is>
          <t>ND4</t>
        </is>
      </c>
      <c r="C55" s="21" t="inlineStr">
        <is>
          <t>Tuần 12</t>
        </is>
      </c>
      <c r="D55" s="24" t="inlineStr">
        <is>
          <t>Biến thể giọng thẩm quyền hành chính của T1 (gộp từ T9): payload mạo giọng công văn, chỉ đạo cấp trên; khai thác thiên lệch tuân thủ thẩm quyền</t>
        </is>
      </c>
      <c r="E55" s="24" t="inlineStr">
        <is>
          <t>src/attack/payloads/t1_authority.yaml</t>
        </is>
      </c>
      <c r="F55" s="21" t="inlineStr">
        <is>
          <t>23/11/2026</t>
        </is>
      </c>
      <c r="G55" s="21" t="inlineStr">
        <is>
          <t>29/11/2026</t>
        </is>
      </c>
      <c r="H55" s="21" t="inlineStr">
        <is>
          <t>Chưa bắt đầu</t>
        </is>
      </c>
      <c r="I55" s="24" t="inlineStr">
        <is>
          <t>ĐÓNG GÓP MỚI — đặc thù văn hóa doanh nghiệp Việt</t>
        </is>
      </c>
      <c r="J55" s="26" t="inlineStr">
        <is>
          <t>Claude soạn biến thể giọng văn hành chính (biến thể của T1) theo mẫu văn bản Việt; TA rà mức độ.</t>
        </is>
      </c>
      <c r="K55" s="28" t="n">
        <v>4</v>
      </c>
    </row>
    <row r="56" ht="30" customHeight="1" s="36">
      <c r="A56" s="21" t="n">
        <v>50</v>
      </c>
      <c r="B56" s="21" t="inlineStr">
        <is>
          <t>ND4</t>
        </is>
      </c>
      <c r="C56" s="21" t="inlineStr">
        <is>
          <t>Tuần 12</t>
        </is>
      </c>
      <c r="D56" s="24" t="inlineStr">
        <is>
          <t>Kỹ thuật T7 — kích hoạt trễ hoặc có điều kiện: payload chỉ hành động khi thấy một kết quả tool nhất định hoặc từ lượt ≥3</t>
        </is>
      </c>
      <c r="E56" s="24" t="inlineStr">
        <is>
          <t>src/attack/payloads/t7_deferred.yaml</t>
        </is>
      </c>
      <c r="F56" s="21" t="inlineStr">
        <is>
          <t>23/11/2026</t>
        </is>
      </c>
      <c r="G56" s="21" t="inlineStr">
        <is>
          <t>29/11/2026</t>
        </is>
      </c>
      <c r="H56" s="21" t="inlineStr">
        <is>
          <t>Chưa bắt đầu</t>
        </is>
      </c>
      <c r="I56" s="24" t="inlineStr">
        <is>
          <t>Tốn run nhất. Nếu hụt giờ thì cắt theo thứ tự dự phòng ở Y_TUONG_DU_AN.md mục 15 và báo GVHD. Xong T6–T8 thì git tag v-attack-1.0</t>
        </is>
      </c>
      <c r="J56" s="26" t="inlineStr">
        <is>
          <t>Claude hiện thực T7 kích hoạt trễ/có điều kiện; đây là phần tốn run nhất.</t>
        </is>
      </c>
      <c r="K56" s="28" t="n">
        <v>5</v>
      </c>
    </row>
    <row r="57" ht="30" customHeight="1" s="36">
      <c r="A57" s="21" t="n">
        <v>51</v>
      </c>
      <c r="B57" s="21" t="inlineStr">
        <is>
          <t>ND4</t>
        </is>
      </c>
      <c r="C57" s="21" t="inlineStr">
        <is>
          <t>Tuần 12</t>
        </is>
      </c>
      <c r="D57" s="24" t="inlineStr">
        <is>
          <t>D1 Spotlighting: delimiter ngẫu nhiên mỗi lượt, bọc mọi nội dung không tin cậy, chỉ thị 'trong khối là DỮ LIỆU không phải chỉ thị', tùy chọn datamarking</t>
        </is>
      </c>
      <c r="E57" s="24" t="inlineStr">
        <is>
          <t>src/defense/d1_spotlighting.py</t>
        </is>
      </c>
      <c r="F57" s="21" t="inlineStr">
        <is>
          <t>23/11/2026</t>
        </is>
      </c>
      <c r="G57" s="21" t="inlineStr">
        <is>
          <t>29/11/2026</t>
        </is>
      </c>
      <c r="H57" s="21" t="inlineStr">
        <is>
          <t>Chưa bắt đầu</t>
        </is>
      </c>
      <c r="I57" s="24" t="inlineStr">
        <is>
          <t>QUY TẮC CỨNG #4: mọi tham số nằm ở config/defenses.yaml</t>
        </is>
      </c>
      <c r="J57" s="26" t="inlineStr">
        <is>
          <t>Claude hiện thực D1 và đưa mọi tham số ra config/defenses.yaml (không hard-code).</t>
        </is>
      </c>
      <c r="K57" s="28" t="n">
        <v>3</v>
      </c>
    </row>
    <row r="58" ht="30" customHeight="1" s="36">
      <c r="A58" s="21" t="n">
        <v>52</v>
      </c>
      <c r="B58" s="21" t="inlineStr">
        <is>
          <t>ND4</t>
        </is>
      </c>
      <c r="C58" s="21" t="inlineStr">
        <is>
          <t>Tuần 12</t>
        </is>
      </c>
      <c r="D58" s="24" t="inlineStr">
        <is>
          <t>D2 Input Sanitizer: chuẩn hóa Unicode NFKC, loại ký tự zero-width/điều khiển, dò khối mã hóa bằng entropy, regex mệnh lệnh vi+en, gỡ text ẩn; ghi tỉ lệ dương tính giả</t>
        </is>
      </c>
      <c r="E58" s="24" t="inlineStr">
        <is>
          <t>src/defense/d2_input_sanitizer.py + d2_false_positive.md</t>
        </is>
      </c>
      <c r="F58" s="21" t="inlineStr">
        <is>
          <t>23/11/2026</t>
        </is>
      </c>
      <c r="G58" s="21" t="inlineStr">
        <is>
          <t>29/11/2026</t>
        </is>
      </c>
      <c r="H58" s="21" t="inlineStr">
        <is>
          <t>Chưa bắt đầu</t>
        </is>
      </c>
      <c r="I58" s="24" t="inlineStr">
        <is>
          <t>T8 đánh trực diện D2 — cặp đấu quan trọng</t>
        </is>
      </c>
      <c r="J58" s="26" t="inlineStr">
        <is>
          <t>Claude hiện thực D2 (NFKC, lọc ký tự, entropy, regex) và đo dương tính giả trên U5.</t>
        </is>
      </c>
      <c r="K58" s="28" t="n">
        <v>4</v>
      </c>
    </row>
    <row r="59" ht="45" customHeight="1" s="36">
      <c r="A59" s="21" t="n">
        <v>53</v>
      </c>
      <c r="B59" s="21" t="inlineStr">
        <is>
          <t>ND4</t>
        </is>
      </c>
      <c r="C59" s="21" t="inlineStr">
        <is>
          <t>Tuần 12</t>
        </is>
      </c>
      <c r="D59" s="24" t="inlineStr">
        <is>
          <t>D3 Tool-call Policy: máy trạng thái NGOÀI LLM, allowlist gắn theo loại tác vụ người dùng chọn trước, chặn chuỗi đọc-nhạy-cảm → ra-ngoài, giới hạn tần suất tool ngoài, ghi reason vào trace</t>
        </is>
      </c>
      <c r="E59" s="24" t="inlineStr">
        <is>
          <t>src/defense/d3_tool_policy.py</t>
        </is>
      </c>
      <c r="F59" s="21" t="inlineStr">
        <is>
          <t>23/11/2026</t>
        </is>
      </c>
      <c r="G59" s="21" t="inlineStr">
        <is>
          <t>29/11/2026</t>
        </is>
      </c>
      <c r="H59" s="21" t="inlineStr">
        <is>
          <t>Chưa bắt đầu</t>
        </is>
      </c>
      <c r="I59" s="24" t="inlineStr">
        <is>
          <t>QUY TẮC CỨNG #3: KHÔNG thêm phân loại ý định tự do (regex/NLU/LLM)</t>
        </is>
      </c>
      <c r="J59" s="26" t="inlineStr">
        <is>
          <t>Claude hiện thực D3 máy trạng thái ngoài LLM; KHÔNG thêm phân loại ý định tự do (quy tắc #3).</t>
        </is>
      </c>
      <c r="K59" s="28" t="n">
        <v>4</v>
      </c>
    </row>
    <row r="60" ht="30" customHeight="1" s="36">
      <c r="A60" s="21" t="n">
        <v>54</v>
      </c>
      <c r="B60" s="21" t="inlineStr">
        <is>
          <t>ND4</t>
        </is>
      </c>
      <c r="C60" s="21" t="inlineStr">
        <is>
          <t>Tuần 12</t>
        </is>
      </c>
      <c r="D60" s="24" t="inlineStr">
        <is>
          <t>D4 Egress Filter: soát tham số send_email và http_request, khớp canary + PII, allowlist tên miền và người nhận, chặn URL chứa chuỗi mã hóa dài</t>
        </is>
      </c>
      <c r="E60" s="24" t="inlineStr">
        <is>
          <t>src/defense/d4_egress_filter.py</t>
        </is>
      </c>
      <c r="F60" s="21" t="inlineStr">
        <is>
          <t>23/11/2026</t>
        </is>
      </c>
      <c r="G60" s="21" t="inlineStr">
        <is>
          <t>29/11/2026</t>
        </is>
      </c>
      <c r="H60" s="21" t="inlineStr">
        <is>
          <t>Chưa bắt đầu</t>
        </is>
      </c>
      <c r="I60" s="24" t="n"/>
      <c r="J60" s="26" t="inlineStr">
        <is>
          <t>Claude hiện thực D4 lọc egress theo canary + PII + allowlist tên miền.</t>
        </is>
      </c>
      <c r="K60" s="28" t="n">
        <v>2</v>
      </c>
    </row>
    <row r="61" ht="30" customHeight="1" s="36">
      <c r="A61" s="21" t="n">
        <v>55</v>
      </c>
      <c r="B61" s="21" t="inlineStr">
        <is>
          <t>ND4</t>
        </is>
      </c>
      <c r="C61" s="21" t="inlineStr">
        <is>
          <t>Tuần 12</t>
        </is>
      </c>
      <c r="D61" s="24" t="inlineStr">
        <is>
          <t>Pipeline phòng thủ: đọc defenses.yaml, cắm từng cơ chế vào đúng hook của lõi agent, hỗ trợ mọi tổ hợp bật/tắt, ghi cấu hình đang bật vào trace</t>
        </is>
      </c>
      <c r="E61" s="24" t="inlineStr">
        <is>
          <t>src/defense/pipeline.py</t>
        </is>
      </c>
      <c r="F61" s="21" t="inlineStr">
        <is>
          <t>23/11/2026</t>
        </is>
      </c>
      <c r="G61" s="21" t="inlineStr">
        <is>
          <t>29/11/2026</t>
        </is>
      </c>
      <c r="H61" s="21" t="inlineStr">
        <is>
          <t>Chưa bắt đầu</t>
        </is>
      </c>
      <c r="I61" s="24" t="n"/>
      <c r="J61" s="26" t="inlineStr">
        <is>
          <t>Claude viết pipeline đọc defenses.yaml và cắm cơ chế vào hook; ghi cấu hình vào trace.</t>
        </is>
      </c>
      <c r="K61" s="28" t="n">
        <v>2</v>
      </c>
    </row>
    <row r="62" ht="30" customHeight="1" s="36">
      <c r="A62" s="21" t="n">
        <v>56</v>
      </c>
      <c r="B62" s="21" t="inlineStr">
        <is>
          <t>ND4</t>
        </is>
      </c>
      <c r="C62" s="21" t="inlineStr">
        <is>
          <t>Tuần 12</t>
        </is>
      </c>
      <c r="D62" s="24" t="inlineStr">
        <is>
          <t>Unit test 4 cơ chế: mỗi cơ chế ≥5 ca (3 ca phải chặn + 2 ca KHÔNG được chặn nội dung lành tính) + test tích hợp bật toàn bộ chạy tác vụ chở lành tính</t>
        </is>
      </c>
      <c r="E62" s="24" t="inlineStr">
        <is>
          <t>tests/test_defenses.py</t>
        </is>
      </c>
      <c r="F62" s="21" t="inlineStr">
        <is>
          <t>23/11/2026</t>
        </is>
      </c>
      <c r="G62" s="21" t="inlineStr">
        <is>
          <t>29/11/2026</t>
        </is>
      </c>
      <c r="H62" s="21" t="inlineStr">
        <is>
          <t>Chưa bắt đầu</t>
        </is>
      </c>
      <c r="I62" s="24" t="inlineStr">
        <is>
          <t>Các ca 'không được chặn' là quan trọng nhất</t>
        </is>
      </c>
      <c r="J62" s="26" t="inlineStr">
        <is>
          <t>Claude viết unit test 4 cơ chế; nhấn mạnh các ca 'không được chặn' nội dung lành tính.</t>
        </is>
      </c>
      <c r="K62" s="28" t="n">
        <v>3</v>
      </c>
    </row>
    <row r="63" ht="30" customHeight="1" s="36">
      <c r="A63" s="21" t="n">
        <v>57</v>
      </c>
      <c r="B63" s="21" t="inlineStr">
        <is>
          <t>ND4</t>
        </is>
      </c>
      <c r="C63" s="21" t="inlineStr">
        <is>
          <t>Tuần 12</t>
        </is>
      </c>
      <c r="D63" s="24" t="inlineStr">
        <is>
          <t>Pipeline tấn công thích ứng: đưa mô tả cơ chế phòng thủ vào prompt model attacker, vòng lặp ≤3 lần dùng lý do bị chặn từ trace làm phản hồi</t>
        </is>
      </c>
      <c r="E63" s="24" t="inlineStr">
        <is>
          <t>src/attack/adaptive.py</t>
        </is>
      </c>
      <c r="F63" s="21" t="inlineStr">
        <is>
          <t>23/11/2026</t>
        </is>
      </c>
      <c r="G63" s="21" t="inlineStr">
        <is>
          <t>29/11/2026</t>
        </is>
      </c>
      <c r="H63" s="21" t="inlineStr">
        <is>
          <t>Chưa bắt đầu</t>
        </is>
      </c>
      <c r="I63" s="24" t="inlineStr">
        <is>
          <t>Trả lời phản biện 'kẻ tấn công thật biết anh lọc gì'</t>
        </is>
      </c>
      <c r="J63" s="26" t="inlineStr">
        <is>
          <t>Claude viết pipeline tấn công thích ứng dùng lý do bị chặn từ trace làm phản hồi.</t>
        </is>
      </c>
      <c r="K63" s="28" t="n">
        <v>4</v>
      </c>
    </row>
    <row r="64" ht="30" customHeight="1" s="36">
      <c r="A64" s="21" t="n">
        <v>58</v>
      </c>
      <c r="B64" s="21" t="inlineStr">
        <is>
          <t>ND4</t>
        </is>
      </c>
      <c r="C64" s="21" t="inlineStr">
        <is>
          <t>Tuần 12</t>
        </is>
      </c>
      <c r="D64" s="24" t="inlineStr">
        <is>
          <t>Dashboard 4 trang: bảng ASR có bộ lọc · biểu đồ đánh đổi Pareto (ảnh tĩnh xuất từ notebook) · trace viewer tô màu bước bị chặn và vị trí payload · công tắc bật/tắt D1–D4 trực tiếp</t>
        </is>
      </c>
      <c r="E64" s="24" t="inlineStr">
        <is>
          <t>dashboard/app.py + pages/</t>
        </is>
      </c>
      <c r="F64" s="21" t="inlineStr">
        <is>
          <t>23/11/2026</t>
        </is>
      </c>
      <c r="G64" s="21" t="inlineStr">
        <is>
          <t>29/11/2026</t>
        </is>
      </c>
      <c r="H64" s="21" t="inlineStr">
        <is>
          <t>Chưa bắt đầu</t>
        </is>
      </c>
      <c r="I64" s="24" t="inlineStr">
        <is>
          <t>Trace viewer là công cụ thuyết phục hội đồng</t>
        </is>
      </c>
      <c r="J64" s="26" t="inlineStr">
        <is>
          <t>Claude dựng dashboard 4 trang (bảng ASR, Pareto, trace viewer, công tắc) đọc trực tiếp traces.db.</t>
        </is>
      </c>
      <c r="K64" s="28" t="n">
        <v>4</v>
      </c>
    </row>
    <row r="65">
      <c r="A65" s="21" t="n">
        <v>59</v>
      </c>
      <c r="B65" s="21" t="inlineStr">
        <is>
          <t>ND4</t>
        </is>
      </c>
      <c r="C65" s="21" t="inlineStr">
        <is>
          <t>Tuần 12</t>
        </is>
      </c>
      <c r="D65" s="24" t="inlineStr">
        <is>
          <t>Viết báo cáo: chương 3 phần Attack Engine và Defense Layer (hoàn tất chương 3)</t>
        </is>
      </c>
      <c r="E65" s="24" t="inlineStr">
        <is>
          <t>Chương 3 (xong)</t>
        </is>
      </c>
      <c r="F65" s="21" t="inlineStr">
        <is>
          <t>23/11/2026</t>
        </is>
      </c>
      <c r="G65" s="21" t="inlineStr">
        <is>
          <t>29/11/2026</t>
        </is>
      </c>
      <c r="H65" s="21" t="inlineStr">
        <is>
          <t>Chưa bắt đầu</t>
        </is>
      </c>
      <c r="I65" s="24" t="inlineStr">
        <is>
          <t>P1</t>
        </is>
      </c>
      <c r="J65" s="26" t="inlineStr">
        <is>
          <t>Claude ráp các phần đã viết thành chương 3 hoàn chỉnh; TA đọc lại mạch lập luận.</t>
        </is>
      </c>
      <c r="K65" s="28" t="n">
        <v>6</v>
      </c>
    </row>
    <row r="66" ht="20" customHeight="1" s="36">
      <c r="A66" s="32" t="inlineStr">
        <is>
          <t>ND5 · Thử nghiệm và đánh giá — Tuần 13–15 (30/11/2026 → 20/12/2026)</t>
        </is>
      </c>
      <c r="B66" s="33" t="n"/>
      <c r="C66" s="33" t="n"/>
      <c r="D66" s="33" t="n"/>
      <c r="E66" s="33" t="n"/>
      <c r="F66" s="33" t="n"/>
      <c r="G66" s="33" t="n"/>
      <c r="H66" s="33" t="n"/>
      <c r="I66" s="33" t="n"/>
      <c r="J66" s="34" t="n"/>
    </row>
    <row r="67" ht="30" customHeight="1" s="36">
      <c r="A67" s="21" t="n">
        <v>60</v>
      </c>
      <c r="B67" s="21" t="inlineStr">
        <is>
          <t>ND5</t>
        </is>
      </c>
      <c r="C67" s="21" t="inlineStr">
        <is>
          <t>Tuần 13</t>
        </is>
      </c>
      <c r="D67" s="24" t="inlineStr">
        <is>
          <t>Chạy thử nghiệm mẫu 40 ca phủ 2 kênh × kỹ thuật × mục tiêu × tác vụ chở; mở tay 10 trace kiểm đủ trường, delivered đúng, phát hiện hợp lý</t>
        </is>
      </c>
      <c r="E67" s="24" t="inlineStr">
        <is>
          <t>results/raw/pilot/ + pilot_findings.md</t>
        </is>
      </c>
      <c r="F67" s="21" t="inlineStr">
        <is>
          <t>30/11/2026</t>
        </is>
      </c>
      <c r="G67" s="21" t="inlineStr">
        <is>
          <t>06/12/2026</t>
        </is>
      </c>
      <c r="H67" s="21" t="inlineStr">
        <is>
          <t>Chưa bắt đầu</t>
        </is>
      </c>
      <c r="I67" s="24" t="n"/>
      <c r="J67" s="26" t="inlineStr">
        <is>
          <t>Claude sinh khung pilot 40 ca và bảng soát trace; TA mở tay 10 trace kiểm.</t>
        </is>
      </c>
      <c r="K67" s="28" t="n">
        <v>4</v>
      </c>
    </row>
    <row r="68" ht="45" customHeight="1" s="36">
      <c r="A68" s="21" t="n">
        <v>61</v>
      </c>
      <c r="B68" s="21" t="inlineStr">
        <is>
          <t>ND5</t>
        </is>
      </c>
      <c r="C68" s="21" t="inlineStr">
        <is>
          <t>Tuần 13</t>
        </is>
      </c>
      <c r="D68" s="24" t="inlineStr">
        <is>
          <t>HIỆU CHỈNH ĐỘ KHÓ MÔI TRƯỜNG (cổng bắt buộc): tính ASR thử nghiệm mẫu; ngoài khoảng 20–80% thì chỉnh, chỉ chỉnh núm có thật trong doanh nghiệp, ghi diff và ASR mỗi vòng, tối đa 3 vòng</t>
        </is>
      </c>
      <c r="E68" s="24" t="inlineStr">
        <is>
          <t>lab_calibration.md</t>
        </is>
      </c>
      <c r="F68" s="21" t="inlineStr">
        <is>
          <t>30/11/2026</t>
        </is>
      </c>
      <c r="G68" s="21" t="inlineStr">
        <is>
          <t>06/12/2026</t>
        </is>
      </c>
      <c r="H68" s="21" t="inlineStr">
        <is>
          <t>Chưa bắt đầu</t>
        </is>
      </c>
      <c r="I68" s="24" t="inlineStr">
        <is>
          <t>QUY TẮC CỨNG #5: không chạy full matrix nếu ASR chưa vào 20–80%</t>
        </is>
      </c>
      <c r="J68" s="26" t="inlineStr">
        <is>
          <t>CỔNG — Claude tính ASR và đề xuất núm chỉnh; TA quyết chỉnh gì, ghi diff mỗi vòng.</t>
        </is>
      </c>
      <c r="K68" s="28" t="n">
        <v>5</v>
      </c>
    </row>
    <row r="69">
      <c r="A69" s="21" t="n">
        <v>62</v>
      </c>
      <c r="B69" s="21" t="inlineStr">
        <is>
          <t>ND5</t>
        </is>
      </c>
      <c r="C69" s="21" t="inlineStr">
        <is>
          <t>Tuần 13</t>
        </is>
      </c>
      <c r="D69" s="24" t="inlineStr">
        <is>
          <t>Đo phương sai để quyết số lần lặp N: chạy 20 mẫu × 5 lần, đo tỉ lệ kết quả giống hệt</t>
        </is>
      </c>
      <c r="E69" s="24" t="inlineStr">
        <is>
          <t>variance_analysis.md</t>
        </is>
      </c>
      <c r="F69" s="21" t="inlineStr">
        <is>
          <t>30/11/2026</t>
        </is>
      </c>
      <c r="G69" s="21" t="inlineStr">
        <is>
          <t>06/12/2026</t>
        </is>
      </c>
      <c r="H69" s="21" t="inlineStr">
        <is>
          <t>Chưa bắt đầu</t>
        </is>
      </c>
      <c r="I69" s="24" t="inlineStr">
        <is>
          <t>Tránh đốt ngân sách lặp vô ích</t>
        </is>
      </c>
      <c r="J69" s="26" t="inlineStr">
        <is>
          <t>Claude viết script đo phương sai và tính N; TA đọc kết quả quyết số lần lặp.</t>
        </is>
      </c>
      <c r="K69" s="28" t="n">
        <v>3</v>
      </c>
    </row>
    <row r="70" ht="30" customHeight="1" s="36">
      <c r="A70" s="21" t="n">
        <v>63</v>
      </c>
      <c r="B70" s="21" t="inlineStr">
        <is>
          <t>ND5</t>
        </is>
      </c>
      <c r="C70" s="21" t="inlineStr">
        <is>
          <t>Tuần 13</t>
        </is>
      </c>
      <c r="D70" s="24" t="inlineStr">
        <is>
          <t>Sửa lỗi phát hiện từ thử nghiệm mẫu: parser tool-call có fallback, ghi parse_error riêng và loại khỏi mẫu ASR, xử lý timeout và rate-limit; chạy lại xác nhận sạch</t>
        </is>
      </c>
      <c r="E70" s="24" t="inlineStr">
        <is>
          <t>Bản vá + known_issues.md</t>
        </is>
      </c>
      <c r="F70" s="21" t="inlineStr">
        <is>
          <t>30/11/2026</t>
        </is>
      </c>
      <c r="G70" s="21" t="inlineStr">
        <is>
          <t>06/12/2026</t>
        </is>
      </c>
      <c r="H70" s="21" t="inlineStr">
        <is>
          <t>Chưa bắt đầu</t>
        </is>
      </c>
      <c r="I70" s="24" t="n"/>
      <c r="J70" s="26" t="inlineStr">
        <is>
          <t>Claude phân tích trace lỗi và đề xuất bản vá parser; TA duyệt trước khi áp.</t>
        </is>
      </c>
      <c r="K70" s="28" t="n">
        <v>4</v>
      </c>
    </row>
    <row r="71" ht="30" customHeight="1" s="36">
      <c r="A71" s="21" t="n">
        <v>64</v>
      </c>
      <c r="B71" s="21" t="inlineStr">
        <is>
          <t>ND5</t>
        </is>
      </c>
      <c r="C71" s="21" t="inlineStr">
        <is>
          <t>Tuần 13</t>
        </is>
      </c>
      <c r="D71" s="24" t="inlineStr">
        <is>
          <t>Đo ASR nền model A1: chạy lô phòng thủ TẮT, kiểm chi phí API mỗi 2 giờ trong 4 giờ đầu, vượt 120% dự toán thì dừng ngay</t>
        </is>
      </c>
      <c r="E71" s="24" t="inlineStr">
        <is>
          <t>results/raw/baseline_A1/</t>
        </is>
      </c>
      <c r="F71" s="21" t="inlineStr">
        <is>
          <t>30/11/2026</t>
        </is>
      </c>
      <c r="G71" s="21" t="inlineStr">
        <is>
          <t>06/12/2026</t>
        </is>
      </c>
      <c r="H71" s="21" t="inlineStr">
        <is>
          <t>Chưa bắt đầu</t>
        </is>
      </c>
      <c r="I71" s="24" t="inlineStr">
        <is>
          <t>A1 đơn giá cao — chỉ chạy tập con xác nhận</t>
        </is>
      </c>
      <c r="J71" s="26" t="inlineStr">
        <is>
          <t>Claude giám sát log chi phí và cảnh báo ngưỡng 120%; TA quyết dừng. Chạy A1 tập con.</t>
        </is>
      </c>
      <c r="K71" s="28" t="n">
        <v>3</v>
      </c>
    </row>
    <row r="72">
      <c r="A72" s="21" t="n">
        <v>65</v>
      </c>
      <c r="B72" s="21" t="inlineStr">
        <is>
          <t>ND5</t>
        </is>
      </c>
      <c r="C72" s="21" t="inlineStr">
        <is>
          <t>Tuần 13</t>
        </is>
      </c>
      <c r="D72" s="24" t="inlineStr">
        <is>
          <t>Đo ASR nền model A2 (lớp doanh nghiệp Việt): chạy full matrix phòng thủ TẮT</t>
        </is>
      </c>
      <c r="E72" s="24" t="inlineStr">
        <is>
          <t>results/raw/baseline_A2/</t>
        </is>
      </c>
      <c r="F72" s="21" t="inlineStr">
        <is>
          <t>30/11/2026</t>
        </is>
      </c>
      <c r="G72" s="21" t="inlineStr">
        <is>
          <t>06/12/2026</t>
        </is>
      </c>
      <c r="H72" s="21" t="inlineStr">
        <is>
          <t>Chưa bắt đầu</t>
        </is>
      </c>
      <c r="I72" s="24" t="n"/>
      <c r="J72" s="26" t="inlineStr">
        <is>
          <t>Claude điều phối chạy full matrix A2 và tổng hợp kết quả thô.</t>
        </is>
      </c>
      <c r="K72" s="28" t="n">
        <v>2</v>
      </c>
    </row>
    <row r="73" ht="30" customHeight="1" s="36">
      <c r="A73" s="21" t="n">
        <v>66</v>
      </c>
      <c r="B73" s="21" t="inlineStr">
        <is>
          <t>ND5</t>
        </is>
      </c>
      <c r="C73" s="21" t="inlineStr">
        <is>
          <t>Tuần 13</t>
        </is>
      </c>
      <c r="D73" s="24" t="inlineStr">
        <is>
          <t>Đo ASR nền model A3 (lớp rẻ, nhóm đối chiếu): chạy full matrix phòng thủ TẮT + 60 câu hữu dụng</t>
        </is>
      </c>
      <c r="E73" s="24" t="inlineStr">
        <is>
          <t>results/raw/baseline_A3/</t>
        </is>
      </c>
      <c r="F73" s="21" t="inlineStr">
        <is>
          <t>30/11/2026</t>
        </is>
      </c>
      <c r="G73" s="21" t="inlineStr">
        <is>
          <t>06/12/2026</t>
        </is>
      </c>
      <c r="H73" s="21" t="inlineStr">
        <is>
          <t>Chưa bắt đầu</t>
        </is>
      </c>
      <c r="I73" s="24" t="inlineStr">
        <is>
          <t>Chênh ASR A1↔A3 là số liệu định lượng cho khác biệt lớp mô hình</t>
        </is>
      </c>
      <c r="J73" s="26" t="inlineStr">
        <is>
          <t>Claude điều phối chạy A3 và 60 câu hữu dụng; xuất chênh ASR A1↔A3.</t>
        </is>
      </c>
      <c r="K73" s="28" t="n">
        <v>2</v>
      </c>
    </row>
    <row r="74" ht="30" customHeight="1" s="36">
      <c r="A74" s="21" t="n">
        <v>67</v>
      </c>
      <c r="B74" s="21" t="inlineStr">
        <is>
          <t>ND5</t>
        </is>
      </c>
      <c r="C74" s="21" t="inlineStr">
        <is>
          <t>Tuần 14</t>
        </is>
      </c>
      <c r="D74" s="24" t="inlineStr">
        <is>
          <t>Hiện thực bộ chỉ số: ASR đầu-cuối và ASR có điều kiện theo nhóm tùy ý, khoảng tin cậy Wilson 95%, loại parse_error minh bạch, cột refusal_rate mỗi model, xuất CSV</t>
        </is>
      </c>
      <c r="E74" s="24" t="inlineStr">
        <is>
          <t>src/eval/metrics.py + results/tables/</t>
        </is>
      </c>
      <c r="F74" s="21" t="inlineStr">
        <is>
          <t>07/12/2026</t>
        </is>
      </c>
      <c r="G74" s="21" t="inlineStr">
        <is>
          <t>13/12/2026</t>
        </is>
      </c>
      <c r="H74" s="21" t="inlineStr">
        <is>
          <t>Chưa bắt đầu</t>
        </is>
      </c>
      <c r="I74" s="24" t="n"/>
      <c r="J74" s="26" t="inlineStr">
        <is>
          <t>Claude hiện thực hàm metrics (Wilson 95%, ASR có điều kiện, refusal_rate) và xuất CSV.</t>
        </is>
      </c>
      <c r="K74" s="28" t="n">
        <v>4</v>
      </c>
    </row>
    <row r="75" ht="30" customHeight="1" s="36">
      <c r="A75" s="21" t="n">
        <v>68</v>
      </c>
      <c r="B75" s="21" t="inlineStr">
        <is>
          <t>ND5</t>
        </is>
      </c>
      <c r="C75" s="21" t="inlineStr">
        <is>
          <t>Tuần 14</t>
        </is>
      </c>
      <c r="D75" s="24" t="inlineStr">
        <is>
          <t>Bảng và biểu đồ nền: 4 bảng ASR (kênh×kỹ thuật, model×kênh, mục tiêu×kỹ thuật, ngôn ngữ×tác vụ chở), heatmap, bar có thanh sai số, biểu đồ phân rã K1; PNG 300dpi</t>
        </is>
      </c>
      <c r="E75" s="24" t="inlineStr">
        <is>
          <t>notebooks/analysis.ipynb + figures/</t>
        </is>
      </c>
      <c r="F75" s="21" t="inlineStr">
        <is>
          <t>07/12/2026</t>
        </is>
      </c>
      <c r="G75" s="21" t="inlineStr">
        <is>
          <t>13/12/2026</t>
        </is>
      </c>
      <c r="H75" s="21" t="inlineStr">
        <is>
          <t>Chưa bắt đầu</t>
        </is>
      </c>
      <c r="I75" s="24" t="n"/>
      <c r="J75" s="26" t="inlineStr">
        <is>
          <t>Claude sinh notebook 4 bảng + heatmap + bar sai số + phân rã K1, PNG 300dpi.</t>
        </is>
      </c>
      <c r="K75" s="28" t="n">
        <v>4</v>
      </c>
    </row>
    <row r="76" ht="30" customHeight="1" s="36">
      <c r="A76" s="21" t="n">
        <v>69</v>
      </c>
      <c r="B76" s="21" t="inlineStr">
        <is>
          <t>ND5</t>
        </is>
      </c>
      <c r="C76" s="21" t="inlineStr">
        <is>
          <t>Tuần 14</t>
        </is>
      </c>
      <c r="D76" s="30" t="inlineStr">
        <is>
          <t>Đối chiếu bậc độ lớn với số liệu công bố của AgentDojo và MCPTox; không kỳ vọng tái lập, chỉ kiểm cùng bậc, lệch quá xa thì điều tra</t>
        </is>
      </c>
      <c r="E76" s="30" t="inlineStr">
        <is>
          <t>Mục trong analysis.ipynb</t>
        </is>
      </c>
      <c r="F76" s="21" t="inlineStr">
        <is>
          <t>07/12/2026</t>
        </is>
      </c>
      <c r="G76" s="21" t="inlineStr">
        <is>
          <t>13/12/2026</t>
        </is>
      </c>
      <c r="H76" s="31" t="inlineStr">
        <is>
          <t>Đã cắt</t>
        </is>
      </c>
      <c r="I76" s="24" t="inlineStr">
        <is>
          <t>Đưa thành một đoạn trong báo cáo ở STT 77</t>
        </is>
      </c>
      <c r="J76" s="26" t="inlineStr">
        <is>
          <t>Đã cắt khỏi kế hoạch.</t>
        </is>
      </c>
      <c r="K76" s="28" t="n">
        <v>0</v>
      </c>
    </row>
    <row r="77" ht="30" customHeight="1" s="36">
      <c r="A77" s="21" t="n">
        <v>70</v>
      </c>
      <c r="B77" s="21" t="inlineStr">
        <is>
          <t>ND5</t>
        </is>
      </c>
      <c r="C77" s="21" t="inlineStr">
        <is>
          <t>Tuần 14</t>
        </is>
      </c>
      <c r="D77" s="24" t="inlineStr">
        <is>
          <t>Nháp trả lời RQ1 và RQ2: so K1 với K2 bằng cả 2 chỉ số; kỹ thuật mạnh nhất từng kênh có ổn định qua các lớp model không; kiểm định chi-square + Cramér's V</t>
        </is>
      </c>
      <c r="E77" s="24" t="inlineStr">
        <is>
          <t>draft_rq1_rq2.md</t>
        </is>
      </c>
      <c r="F77" s="21" t="inlineStr">
        <is>
          <t>07/12/2026</t>
        </is>
      </c>
      <c r="G77" s="21" t="inlineStr">
        <is>
          <t>13/12/2026</t>
        </is>
      </c>
      <c r="H77" s="21" t="inlineStr">
        <is>
          <t>Chưa bắt đầu</t>
        </is>
      </c>
      <c r="I77" s="24" t="inlineStr">
        <is>
          <t>CỔNG M4</t>
        </is>
      </c>
      <c r="J77" s="26" t="inlineStr">
        <is>
          <t>Claude chạy chi-square + Cramér's V và nháp RQ1–RQ2; mọi khẳng định trỏ bảng/hình cụ thể.</t>
        </is>
      </c>
      <c r="K77" s="28" t="n">
        <v>5</v>
      </c>
    </row>
    <row r="78" ht="30" customHeight="1" s="36">
      <c r="A78" s="21" t="n">
        <v>71</v>
      </c>
      <c r="B78" s="21" t="inlineStr">
        <is>
          <t>ND5</t>
        </is>
      </c>
      <c r="C78" s="21" t="inlineStr">
        <is>
          <t>Tuần 14</t>
        </is>
      </c>
      <c r="D78" s="24" t="inlineStr">
        <is>
          <t>Chạy ma trận kẻ tấn công MÙ: 6 cấu hình phòng thủ (OFF/D1/D2/D3/D4/ALL) × 3 model, payload không biết gì về phòng thủ; hụt giờ thì giảm còn OFF/D3/ALL</t>
        </is>
      </c>
      <c r="E78" s="24" t="inlineStr">
        <is>
          <t>results/raw/defense_blind_*/</t>
        </is>
      </c>
      <c r="F78" s="21" t="inlineStr">
        <is>
          <t>07/12/2026</t>
        </is>
      </c>
      <c r="G78" s="21" t="inlineStr">
        <is>
          <t>13/12/2026</t>
        </is>
      </c>
      <c r="H78" s="21" t="inlineStr">
        <is>
          <t>Chưa bắt đầu</t>
        </is>
      </c>
      <c r="I78" s="24" t="inlineStr">
        <is>
          <t>Giám sát chi phí như mọi lô. Cần giảm chi phí thì giảm N hoặc S_def ở M4, không giảm số cấu hình</t>
        </is>
      </c>
      <c r="J78" s="26" t="inlineStr">
        <is>
          <t>Claude điều phối ma trận 6 cấu hình × 3 model và giám sát chi phí.</t>
        </is>
      </c>
      <c r="K78" s="28" t="n">
        <v>3</v>
      </c>
    </row>
    <row r="79" ht="30" customHeight="1" s="36">
      <c r="A79" s="21" t="n">
        <v>72</v>
      </c>
      <c r="B79" s="21" t="inlineStr">
        <is>
          <t>ND5</t>
        </is>
      </c>
      <c r="C79" s="21" t="inlineStr">
        <is>
          <t>Tuần 14</t>
        </is>
      </c>
      <c r="D79" s="24" t="inlineStr">
        <is>
          <t>Chạy bench hữu dụng cho MỌI cấu hình phòng thủ: 60 câu lành tính × N lần trong cùng lệnh với lô tấn công; ghi USR/FRR/TCP/độ trễ/chi phí</t>
        </is>
      </c>
      <c r="E79" s="24" t="inlineStr">
        <is>
          <t>results/tables/utility_by_defense.csv</t>
        </is>
      </c>
      <c r="F79" s="21" t="inlineStr">
        <is>
          <t>07/12/2026</t>
        </is>
      </c>
      <c r="G79" s="21" t="inlineStr">
        <is>
          <t>13/12/2026</t>
        </is>
      </c>
      <c r="H79" s="21" t="inlineStr">
        <is>
          <t>Chưa bắt đầu</t>
        </is>
      </c>
      <c r="I79" s="24" t="inlineStr">
        <is>
          <t>KHÔNG BAO GIỜ CẮT: mỗi cấu hình phải có cả ASR và utility</t>
        </is>
      </c>
      <c r="J79" s="26" t="inlineStr">
        <is>
          <t>Claude bảo đảm mỗi cấu hình chạy kèm 60 câu hữu dụng trong cùng lệnh; ghi đủ chỉ số.</t>
        </is>
      </c>
      <c r="K79" s="28" t="n">
        <v>3</v>
      </c>
    </row>
    <row r="80" ht="45" customHeight="1" s="36">
      <c r="A80" s="21" t="n">
        <v>73</v>
      </c>
      <c r="B80" s="21" t="inlineStr">
        <is>
          <t>ND5</t>
        </is>
      </c>
      <c r="C80" s="21" t="inlineStr">
        <is>
          <t>Tuần 15</t>
        </is>
      </c>
      <c r="D80" s="24" t="inlineStr">
        <is>
          <t>Bảng đánh đổi an toàn – hữu dụng và đường Pareto: mỗi dòng 1 cấu hình (ASR 2 chỉ số/DSR/USR/FRR/TCP/độ trễ p95/chi phí); tán xạ X=1−ASR, Y=USR; phân rã FRR theo U1–U5</t>
        </is>
      </c>
      <c r="E80" s="24" t="inlineStr">
        <is>
          <t>results/tables/tradeoff.csv + figures/pareto.png</t>
        </is>
      </c>
      <c r="F80" s="21" t="inlineStr">
        <is>
          <t>14/12/2026</t>
        </is>
      </c>
      <c r="G80" s="21" t="inlineStr">
        <is>
          <t>20/12/2026</t>
        </is>
      </c>
      <c r="H80" s="21" t="inlineStr">
        <is>
          <t>Chưa bắt đầu</t>
        </is>
      </c>
      <c r="I80" s="24" t="inlineStr">
        <is>
          <t>Pareto là hình quan trọng nhất của báo cáo</t>
        </is>
      </c>
      <c r="J80" s="26" t="inlineStr">
        <is>
          <t>Claude sinh bảng đánh đổi và biểu đồ Pareto; TA đọc để rút thông điệp chính.</t>
        </is>
      </c>
      <c r="K80" s="28" t="n">
        <v>4</v>
      </c>
    </row>
    <row r="81" ht="45" customHeight="1" s="36">
      <c r="A81" s="21" t="n">
        <v>74</v>
      </c>
      <c r="B81" s="21" t="inlineStr">
        <is>
          <t>ND5</t>
        </is>
      </c>
      <c r="C81" s="21" t="inlineStr">
        <is>
          <t>Tuần 15</t>
        </is>
      </c>
      <c r="D81" s="24" t="inlineStr">
        <is>
          <t>Nháp trả lời RQ3 và RQ4: bật toàn bộ có hơn cơ chế đơn lẻ tốt nhất không và hơn bao nhiêu (không khẳng định tính cộng tính), cái giá từng cơ chế, bảng chéo phòng thủ × kỹ thuật</t>
        </is>
      </c>
      <c r="E81" s="24" t="inlineStr">
        <is>
          <t>draft_rq3_rq4.md</t>
        </is>
      </c>
      <c r="F81" s="21" t="inlineStr">
        <is>
          <t>14/12/2026</t>
        </is>
      </c>
      <c r="G81" s="21" t="inlineStr">
        <is>
          <t>20/12/2026</t>
        </is>
      </c>
      <c r="H81" s="21" t="inlineStr">
        <is>
          <t>Chưa bắt đầu</t>
        </is>
      </c>
      <c r="I81" s="24" t="inlineStr">
        <is>
          <t>CỔNG M5</t>
        </is>
      </c>
      <c r="J81" s="26" t="inlineStr">
        <is>
          <t>Claude nháp RQ3–RQ4 kèm bảng chéo; TA giữ mức khẳng định thận trọng (không cộng tính).</t>
        </is>
      </c>
      <c r="K81" s="28" t="n">
        <v>5</v>
      </c>
    </row>
    <row r="82" ht="30" customHeight="1" s="36">
      <c r="A82" s="21" t="n">
        <v>75</v>
      </c>
      <c r="B82" s="21" t="inlineStr">
        <is>
          <t>ND5</t>
        </is>
      </c>
      <c r="C82" s="21" t="inlineStr">
        <is>
          <t>Tuần 15</t>
        </is>
      </c>
      <c r="D82" s="24" t="inlineStr">
        <is>
          <t>Chạy tấn công thích ứng: 20 biến thể mỗi cặp kỹ thuật × cơ chế, nhãn attacker_mode=adaptive; tính ARR = DSR(adaptive)/DSR(blind) từng cơ chế</t>
        </is>
      </c>
      <c r="E82" s="24" t="inlineStr">
        <is>
          <t>results/raw/defense_adaptive_*/ + arr.csv</t>
        </is>
      </c>
      <c r="F82" s="21" t="inlineStr">
        <is>
          <t>14/12/2026</t>
        </is>
      </c>
      <c r="G82" s="21" t="inlineStr">
        <is>
          <t>20/12/2026</t>
        </is>
      </c>
      <c r="H82" s="21" t="inlineStr">
        <is>
          <t>Chưa bắt đầu</t>
        </is>
      </c>
      <c r="I82" s="24" t="inlineStr">
        <is>
          <t>ARR thấp là PHÁT HIỆN, không phải thất bại</t>
        </is>
      </c>
      <c r="J82" s="26" t="inlineStr">
        <is>
          <t>Claude điều phối tấn công thích ứng 20 biến thể/cặp và tính ARR.</t>
        </is>
      </c>
      <c r="K82" s="28" t="n">
        <v>4</v>
      </c>
    </row>
    <row r="83" ht="30" customHeight="1" s="36">
      <c r="A83" s="21" t="n">
        <v>76</v>
      </c>
      <c r="B83" s="21" t="inlineStr">
        <is>
          <t>ND5</t>
        </is>
      </c>
      <c r="C83" s="21" t="inlineStr">
        <is>
          <t>Tuần 15</t>
        </is>
      </c>
      <c r="D83" s="24" t="inlineStr">
        <is>
          <t>Cập nhật Pareto 2 bộ điểm (mù + thích ứng) và nháp trả lời RQ5: phòng thủ còn hiệu quả bao nhiêu khi kẻ tấn công biết trước cơ chế</t>
        </is>
      </c>
      <c r="E83" s="24" t="inlineStr">
        <is>
          <t>draft_rq5.md + figures/pareto_2sets.png</t>
        </is>
      </c>
      <c r="F83" s="21" t="inlineStr">
        <is>
          <t>14/12/2026</t>
        </is>
      </c>
      <c r="G83" s="21" t="inlineStr">
        <is>
          <t>20/12/2026</t>
        </is>
      </c>
      <c r="H83" s="21" t="inlineStr">
        <is>
          <t>Chưa bắt đầu</t>
        </is>
      </c>
      <c r="I83" s="24" t="inlineStr">
        <is>
          <t>Khoảng cách giữa 2 bộ điểm là thông điệp chính</t>
        </is>
      </c>
      <c r="J83" s="26" t="inlineStr">
        <is>
          <t>Claude cập nhật Pareto 2 bộ điểm và nháp RQ5; TA diễn giải khoảng cách 2 bộ điểm.</t>
        </is>
      </c>
      <c r="K83" s="28" t="n">
        <v>3</v>
      </c>
    </row>
    <row r="84" ht="30" customHeight="1" s="36">
      <c r="A84" s="21" t="n">
        <v>77</v>
      </c>
      <c r="B84" s="21" t="inlineStr">
        <is>
          <t>ND5</t>
        </is>
      </c>
      <c r="C84" s="21" t="inlineStr">
        <is>
          <t>Tuần 15</t>
        </is>
      </c>
      <c r="D84" s="24" t="inlineStr">
        <is>
          <t>Viết báo cáo: chương 4 phần thiết lập thực nghiệm và kết quả nền (bảng biến, cỡ mẫu, quy trình hiệu chỉnh, RQ1–RQ5)</t>
        </is>
      </c>
      <c r="E84" s="24" t="inlineStr">
        <is>
          <t>Nháp chương 4</t>
        </is>
      </c>
      <c r="F84" s="21" t="inlineStr">
        <is>
          <t>14/12/2026</t>
        </is>
      </c>
      <c r="G84" s="21" t="inlineStr">
        <is>
          <t>20/12/2026</t>
        </is>
      </c>
      <c r="H84" s="21" t="inlineStr">
        <is>
          <t>Chưa bắt đầu</t>
        </is>
      </c>
      <c r="I84" s="24" t="inlineStr">
        <is>
          <t>P1</t>
        </is>
      </c>
      <c r="J84" s="26" t="inlineStr">
        <is>
          <t>Claude ráp chương 4 phần thiết lập và kết quả nền; TA đọc lại số liệu.</t>
        </is>
      </c>
      <c r="K84" s="28" t="n">
        <v>6</v>
      </c>
    </row>
    <row r="85" ht="20" customHeight="1" s="36">
      <c r="A85" s="32" t="inlineStr">
        <is>
          <t>ND6 · Triển khai thực tế; đánh giá, phản hồi người dùng — Tuần 16–17 (21/12/2026 → 08/01/2027)</t>
        </is>
      </c>
      <c r="B85" s="33" t="n"/>
      <c r="C85" s="33" t="n"/>
      <c r="D85" s="33" t="n"/>
      <c r="E85" s="33" t="n"/>
      <c r="F85" s="33" t="n"/>
      <c r="G85" s="33" t="n"/>
      <c r="H85" s="33" t="n"/>
      <c r="I85" s="33" t="n"/>
      <c r="J85" s="34" t="n"/>
    </row>
    <row r="86" ht="30" customHeight="1" s="36">
      <c r="A86" s="21" t="n">
        <v>78</v>
      </c>
      <c r="B86" s="21" t="inlineStr">
        <is>
          <t>ND6</t>
        </is>
      </c>
      <c r="C86" s="21" t="inlineStr">
        <is>
          <t>Tuần 16</t>
        </is>
      </c>
      <c r="D86" s="24" t="inlineStr">
        <is>
          <t>Lập bảng đối chiếu D1–D4 với các lớp kiểm soát có sẵn của hai harness thương mại: HN-CC (Claude Code) và HN-OW (OpenWork, lõi opencode) — xin phép trước khi gọi tool / allowlist / sandbox / giới hạn miền</t>
        </is>
      </c>
      <c r="E86" s="24" t="inlineStr">
        <is>
          <t>docs/harness_comparison.md</t>
        </is>
      </c>
      <c r="F86" s="21" t="inlineStr">
        <is>
          <t>21/12/2026</t>
        </is>
      </c>
      <c r="G86" s="21" t="inlineStr">
        <is>
          <t>27/12/2026</t>
        </is>
      </c>
      <c r="H86" s="21" t="inlineStr">
        <is>
          <t>Chưa bắt đầu</t>
        </is>
      </c>
      <c r="I86" s="24" t="inlineStr">
        <is>
          <t>KHÔNG BAO GIỜ CẮT — cần cho mọi phương án</t>
        </is>
      </c>
      <c r="J86" s="26" t="inlineStr">
        <is>
          <t>Claude lập bảng đối chiếu D1–D4 với lớp kiểm soát của từng harness; TA xác nhận cái nào harness đã có.</t>
        </is>
      </c>
      <c r="K86" s="28" t="n">
        <v>4</v>
      </c>
    </row>
    <row r="87" ht="30" customHeight="1" s="36">
      <c r="A87" s="21" t="n">
        <v>79</v>
      </c>
      <c r="B87" s="21" t="inlineStr">
        <is>
          <t>ND6</t>
        </is>
      </c>
      <c r="C87" s="21" t="inlineStr">
        <is>
          <t>Tuần 16</t>
        </is>
      </c>
      <c r="D87" s="24" t="inlineStr">
        <is>
          <t>Cắm hai harness HN-CC và HN-OW vào MCP server của lab; chốt cấu hình quyền (allowlist theo allowed_tools của tác vụ chở); chạy thử theo điều kiện đạt; PIN phiên bản (Claude Code; OpenWork và opencode) và ghi vào trace</t>
        </is>
      </c>
      <c r="E87" s="24" t="inlineStr">
        <is>
          <t>Cấu hình + mã tích hợp 2 harness + log chạy thử</t>
        </is>
      </c>
      <c r="F87" s="21" t="inlineStr">
        <is>
          <t>21/12/2026</t>
        </is>
      </c>
      <c r="G87" s="21" t="inlineStr">
        <is>
          <t>27/12/2026</t>
        </is>
      </c>
      <c r="H87" s="21" t="inlineStr">
        <is>
          <t>Chưa bắt đầu</t>
        </is>
      </c>
      <c r="I87" s="24" t="inlineStr">
        <is>
          <t>QUY TẮC CỨNG #9: phiên bản harness phải pin và ghi vào trace</t>
        </is>
      </c>
      <c r="J87" s="26" t="inlineStr">
        <is>
          <t>Claude viết mã tích hợp hai harness và pin phiên bản vào trace; TA chạy thử theo điều kiện đạt.</t>
        </is>
      </c>
      <c r="K87" s="28" t="n">
        <v>10</v>
      </c>
    </row>
    <row r="88" ht="30" customHeight="1" s="36">
      <c r="A88" s="21" t="n">
        <v>80</v>
      </c>
      <c r="B88" s="21" t="inlineStr">
        <is>
          <t>ND6</t>
        </is>
      </c>
      <c r="C88" s="21" t="inlineStr">
        <is>
          <t>Tuần 16</t>
        </is>
      </c>
      <c r="D88" s="24" t="inlineStr">
        <is>
          <t>Chạy 50 mẫu mỗi nhánh, phòng thủ TẮT: HN-OW trên A1, A2, A3; HN-CC trên A1 và (có điều kiện) A2, A3; mọi nhánh của cùng một model chạy trong cùng một lô; so ASR với vòng lặp agent tự viết</t>
        </is>
      </c>
      <c r="E88" s="24" t="inlineStr">
        <is>
          <t>results/raw/harness_*/</t>
        </is>
      </c>
      <c r="F88" s="21" t="inlineStr">
        <is>
          <t>21/12/2026</t>
        </is>
      </c>
      <c r="G88" s="21" t="inlineStr">
        <is>
          <t>27/12/2026</t>
        </is>
      </c>
      <c r="H88" s="21" t="inlineStr">
        <is>
          <t>Chưa bắt đầu</t>
        </is>
      </c>
      <c r="I88" s="24" t="inlineStr">
        <is>
          <t>Đo mức bảo vệ sẵn có của harness thương mại. HN-CC trên A2, A3 không đạt điều kiện thì bỏ, không cần ký lại</t>
        </is>
      </c>
      <c r="J88" s="26" t="inlineStr">
        <is>
          <t>Claude điều phối chạy 2 harness × 3 model và so ASR với vòng lặp tự viết trong cùng model.</t>
        </is>
      </c>
      <c r="K88" s="28" t="n">
        <v>7</v>
      </c>
    </row>
    <row r="89" ht="30" customHeight="1" s="36">
      <c r="A89" s="21" t="n">
        <v>81</v>
      </c>
      <c r="B89" s="21" t="inlineStr">
        <is>
          <t>ND6</t>
        </is>
      </c>
      <c r="C89" s="21" t="inlineStr">
        <is>
          <t>Tuần 16</t>
        </is>
      </c>
      <c r="D89" s="24" t="inlineStr">
        <is>
          <t>Phân tích RQ6: (6a) mỗi harness giảm ASR bao nhiêu so với vòng lặp trần trên cùng model; (6b) hai harness khác nhau bao nhiêu trong cùng model; (6c) lớp kiểm soát nào của harness ứng với D1–D4. Khai rõ giới hạn: 2 harness, 50 mẫu, phòng thủ tắt</t>
        </is>
      </c>
      <c r="E89" s="24" t="inlineStr">
        <is>
          <t>draft_rq6.md + mục threats to validity</t>
        </is>
      </c>
      <c r="F89" s="21" t="inlineStr">
        <is>
          <t>21/12/2026</t>
        </is>
      </c>
      <c r="G89" s="21" t="inlineStr">
        <is>
          <t>27/12/2026</t>
        </is>
      </c>
      <c r="H89" s="21" t="inlineStr">
        <is>
          <t>Chưa bắt đầu</t>
        </is>
      </c>
      <c r="I89" s="24" t="inlineStr">
        <is>
          <t>QUY TẮC CỨNG #8: không ghi 'model từ chối' thành 'phòng thủ chặn'</t>
        </is>
      </c>
      <c r="J89" s="26" t="inlineStr">
        <is>
          <t>Claude nháp RQ6 và mục threats to validity; giữ blocked_by phân định đúng (quy tắc #8).</t>
        </is>
      </c>
      <c r="K89" s="28" t="n">
        <v>5</v>
      </c>
    </row>
    <row r="90" ht="45" customHeight="1" s="36">
      <c r="A90" s="21" t="n">
        <v>82</v>
      </c>
      <c r="B90" s="21" t="inlineStr">
        <is>
          <t>ND6</t>
        </is>
      </c>
      <c r="C90" s="21" t="inlineStr">
        <is>
          <t>Tuần 16</t>
        </is>
      </c>
      <c r="D90" s="24" t="inlineStr">
        <is>
          <t>Xây kịch bản trình diễn trên hồ sơ nghiệp vụ mô phỏng (dữ liệu Faker) của một công ty phân phối thiết bị: tạo file demo (PDF báo giá 3 trang có payload ẩn), chọn payload mà D1+D2 không chặn, chỉ D3/D4 chặn</t>
        </is>
      </c>
      <c r="E90" s="24" t="inlineStr">
        <is>
          <t>demo/ + file demo</t>
        </is>
      </c>
      <c r="F90" s="21" t="inlineStr">
        <is>
          <t>21/12/2026</t>
        </is>
      </c>
      <c r="G90" s="21" t="inlineStr">
        <is>
          <t>27/12/2026</t>
        </is>
      </c>
      <c r="H90" s="21" t="inlineStr">
        <is>
          <t>Chưa bắt đầu</t>
        </is>
      </c>
      <c r="I90" s="24" t="inlineStr">
        <is>
          <t>Kiểm 3 điều kiện: mắt không thấy, pdftotext đọc được, lọt top-5 truy hồi</t>
        </is>
      </c>
      <c r="J90" s="26" t="inlineStr">
        <is>
          <t>Claude tạo file demo và chọn payload theo tiêu chí demo; TA kiểm 3 điều kiện.</t>
        </is>
      </c>
      <c r="K90" s="28" t="n">
        <v>4</v>
      </c>
    </row>
    <row r="91" ht="30" customHeight="1" s="36">
      <c r="A91" s="21" t="n">
        <v>83</v>
      </c>
      <c r="B91" s="21" t="inlineStr">
        <is>
          <t>ND6</t>
        </is>
      </c>
      <c r="C91" s="21" t="inlineStr">
        <is>
          <t>Tuần 16</t>
        </is>
      </c>
      <c r="D91" s="24" t="inlineStr">
        <is>
          <t>Viết tài liệu hướng dẫn cài đặt và sử dụng; đóng gói để người khác cài lại được bằng MỘT lệnh (docker compose up), test trên máy sạch</t>
        </is>
      </c>
      <c r="E91" s="24" t="inlineStr">
        <is>
          <t>README + docs/huong_dan_su_dung.md</t>
        </is>
      </c>
      <c r="F91" s="21" t="inlineStr">
        <is>
          <t>21/12/2026</t>
        </is>
      </c>
      <c r="G91" s="21" t="inlineStr">
        <is>
          <t>27/12/2026</t>
        </is>
      </c>
      <c r="H91" s="21" t="inlineStr">
        <is>
          <t>Chưa bắt đầu</t>
        </is>
      </c>
      <c r="I91" s="24" t="inlineStr">
        <is>
          <t>Người khác clone về chạy được, không phải hỏi thêm</t>
        </is>
      </c>
      <c r="J91" s="26" t="inlineStr">
        <is>
          <t>Claude viết tài liệu hướng dẫn cài đặt và cấu hình docker-compose một lệnh; test máy sạch.</t>
        </is>
      </c>
      <c r="K91" s="28" t="n">
        <v>5</v>
      </c>
    </row>
    <row r="92" ht="30" customHeight="1" s="36">
      <c r="A92" s="21" t="n">
        <v>84</v>
      </c>
      <c r="B92" s="21" t="inlineStr">
        <is>
          <t>ND6</t>
        </is>
      </c>
      <c r="C92" s="21" t="inlineStr">
        <is>
          <t>Tuần 16</t>
        </is>
      </c>
      <c r="D92" s="24" t="inlineStr">
        <is>
          <t>Kịch bản demo và diễn tập: lời thoại 7 bước bấm giờ từng bước, phương án dự phòng, chạy như thật ≤90 giây, quay video HD phụ đề tiếng Việt lưu 2 nơi</t>
        </is>
      </c>
      <c r="E92" s="24" t="inlineStr">
        <is>
          <t>docs/demo_script.md + demo/demo_backup.mp4</t>
        </is>
      </c>
      <c r="F92" s="21" t="inlineStr">
        <is>
          <t>21/12/2026</t>
        </is>
      </c>
      <c r="G92" s="21" t="inlineStr">
        <is>
          <t>27/12/2026</t>
        </is>
      </c>
      <c r="H92" s="21" t="inlineStr">
        <is>
          <t>Chưa bắt đầu</t>
        </is>
      </c>
      <c r="I92" s="24" t="inlineStr">
        <is>
          <t>CỔNG M7: 2 lần liên tiếp ≤90s không lỗi</t>
        </is>
      </c>
      <c r="J92" s="26" t="inlineStr">
        <is>
          <t>Claude soạn kịch bản demo 7 bước bấm giờ và phương án dự phòng từng bước.</t>
        </is>
      </c>
      <c r="K92" s="28" t="n">
        <v>5</v>
      </c>
    </row>
    <row r="93" ht="30" customHeight="1" s="36">
      <c r="A93" s="21" t="n">
        <v>85</v>
      </c>
      <c r="B93" s="21" t="inlineStr">
        <is>
          <t>ND6</t>
        </is>
      </c>
      <c r="C93" s="21" t="inlineStr">
        <is>
          <t>Tuần 17</t>
        </is>
      </c>
      <c r="D93" s="24" t="inlineStr">
        <is>
          <t>Tổ chức đánh giá với người dùng thực: 3–5 người (đồng nghiệp làm an toàn thông tin / vận hành trợ lý AI / GVHD) dùng thử dashboard và demo theo kịch bản có sẵn</t>
        </is>
      </c>
      <c r="E93" s="24" t="inlineStr">
        <is>
          <t>Biên bản buổi thử + bản ghi</t>
        </is>
      </c>
      <c r="F93" s="21" t="inlineStr">
        <is>
          <t>28/12/2026</t>
        </is>
      </c>
      <c r="G93" s="21" t="inlineStr">
        <is>
          <t>08/01/2027</t>
        </is>
      </c>
      <c r="H93" s="21" t="inlineStr">
        <is>
          <t>Chưa bắt đầu</t>
        </is>
      </c>
      <c r="I93" s="24" t="inlineStr">
        <is>
          <t>NỘI DUNG BẮT BUỘC với ĐATN kỹ sư</t>
        </is>
      </c>
      <c r="J93" s="26" t="inlineStr">
        <is>
          <t>Claude soạn kịch bản buổi thử người dùng và checklist quan sát; TA điều phối buổi thử.</t>
        </is>
      </c>
      <c r="K93" s="28" t="n">
        <v>4</v>
      </c>
    </row>
    <row r="94" ht="30" customHeight="1" s="36">
      <c r="A94" s="21" t="n">
        <v>86</v>
      </c>
      <c r="B94" s="21" t="inlineStr">
        <is>
          <t>ND6</t>
        </is>
      </c>
      <c r="C94" s="21" t="inlineStr">
        <is>
          <t>Tuần 17</t>
        </is>
      </c>
      <c r="D94" s="24" t="inlineStr">
        <is>
          <t>Phiếu khảo sát và phỏng vấn ngắn: mức hữu ích của bộ chỉ số, tính dễ hiểu của trace viewer, cấu hình phòng thủ họ sẽ thực sự bật, thang Likert + câu hỏi mở</t>
        </is>
      </c>
      <c r="E94" s="24" t="inlineStr">
        <is>
          <t>docs/phieu_khao_sat.md + kết quả thô</t>
        </is>
      </c>
      <c r="F94" s="21" t="inlineStr">
        <is>
          <t>28/12/2026</t>
        </is>
      </c>
      <c r="G94" s="21" t="inlineStr">
        <is>
          <t>08/01/2027</t>
        </is>
      </c>
      <c r="H94" s="21" t="inlineStr">
        <is>
          <t>Chưa bắt đầu</t>
        </is>
      </c>
      <c r="I94" s="24" t="inlineStr">
        <is>
          <t>Không thu thập thông tin định danh người tham gia</t>
        </is>
      </c>
      <c r="J94" s="26" t="inlineStr">
        <is>
          <t>Claude soạn phiếu khảo sát (Likert + câu hỏi mở); nhắc không thu thập thông tin định danh.</t>
        </is>
      </c>
      <c r="K94" s="28" t="n">
        <v>3</v>
      </c>
    </row>
    <row r="95" ht="30" customHeight="1" s="36">
      <c r="A95" s="21" t="n">
        <v>87</v>
      </c>
      <c r="B95" s="21" t="inlineStr">
        <is>
          <t>ND6</t>
        </is>
      </c>
      <c r="C95" s="21" t="inlineStr">
        <is>
          <t>Tuần 17</t>
        </is>
      </c>
      <c r="D95" s="24" t="inlineStr">
        <is>
          <t>Tổng hợp và phân tích phản hồi người dùng; rút ra hạn chế của công cụ từ góc nhìn người dùng và đề xuất hướng phát triển tiếp theo</t>
        </is>
      </c>
      <c r="E95" s="24" t="inlineStr">
        <is>
          <t>docs/phan_hoi_nguoi_dung.md + mục trong chương 5</t>
        </is>
      </c>
      <c r="F95" s="21" t="inlineStr">
        <is>
          <t>28/12/2026</t>
        </is>
      </c>
      <c r="G95" s="21" t="inlineStr">
        <is>
          <t>08/01/2027</t>
        </is>
      </c>
      <c r="H95" s="21" t="inlineStr">
        <is>
          <t>Chưa bắt đầu</t>
        </is>
      </c>
      <c r="I95" s="24" t="n"/>
      <c r="J95" s="26" t="inlineStr">
        <is>
          <t>Claude tổng hợp và mã hóa phản hồi thành chủ đề; TA rút hạn chế và hướng phát triển.</t>
        </is>
      </c>
      <c r="K95" s="28" t="n">
        <v>4</v>
      </c>
    </row>
    <row r="96" ht="30" customHeight="1" s="36">
      <c r="A96" s="21" t="n">
        <v>88</v>
      </c>
      <c r="B96" s="21" t="inlineStr">
        <is>
          <t>ND6</t>
        </is>
      </c>
      <c r="C96" s="21" t="inlineStr">
        <is>
          <t>Tuần 17</t>
        </is>
      </c>
      <c r="D96" s="24" t="inlineStr">
        <is>
          <t>Ráp chương 1–4 hoàn chỉnh; bổ sung hình kiến trúc, taxonomy, luồng canary; chương 4 gồm thiết lập thực nghiệm, kết quả nền RQ1–RQ2, phòng thủ và đánh đổi RQ3–RQ4, thích ứng RQ5, harness RQ6; mọi bảng, hình được nhắc trong thân bài; mọi khẳng định về công trình khác có trích dẫn kiểm tra được</t>
        </is>
      </c>
      <c r="E96" s="24" t="inlineStr">
        <is>
          <t>Chương 1, 2, 3, 4</t>
        </is>
      </c>
      <c r="F96" s="21" t="inlineStr">
        <is>
          <t>28/12/2026</t>
        </is>
      </c>
      <c r="G96" s="21" t="inlineStr">
        <is>
          <t>08/01/2027</t>
        </is>
      </c>
      <c r="H96" s="21" t="inlineStr">
        <is>
          <t>Chưa bắt đầu</t>
        </is>
      </c>
      <c r="I96" s="24" t="n"/>
      <c r="J96" s="26" t="inlineStr">
        <is>
          <t>Claude ráp chương 1–3 hoàn chỉnh, kiểm tính nhất quán thuật ngữ và ký hiệu xuyên suốt.</t>
        </is>
      </c>
      <c r="K96" s="28" t="n">
        <v>6</v>
      </c>
    </row>
    <row r="97" ht="30" customHeight="1" s="36">
      <c r="A97" s="21" t="n">
        <v>89</v>
      </c>
      <c r="B97" s="21" t="inlineStr">
        <is>
          <t>ND6</t>
        </is>
      </c>
      <c r="C97" s="21" t="inlineStr">
        <is>
          <t>Tuần 17</t>
        </is>
      </c>
      <c r="D97" s="30" t="inlineStr">
        <is>
          <t>Ráp chương 4: thiết lập thực nghiệm, kết quả nền RQ1–RQ2, phòng thủ và đánh đổi RQ3–RQ4, thích ứng RQ5, harness RQ6; mọi bảng và hình đều được nhắc trong thân bài</t>
        </is>
      </c>
      <c r="E97" s="30" t="inlineStr">
        <is>
          <t>Chương 4</t>
        </is>
      </c>
      <c r="F97" s="21" t="inlineStr">
        <is>
          <t>28/12/2026</t>
        </is>
      </c>
      <c r="G97" s="21" t="inlineStr">
        <is>
          <t>08/01/2027</t>
        </is>
      </c>
      <c r="H97" s="31" t="inlineStr">
        <is>
          <t>Đã cắt</t>
        </is>
      </c>
      <c r="I97" s="24" t="inlineStr">
        <is>
          <t>Gộp vào STT 88</t>
        </is>
      </c>
      <c r="J97" s="26" t="inlineStr">
        <is>
          <t>Đã cắt khỏi kế hoạch.</t>
        </is>
      </c>
      <c r="K97" s="28" t="n">
        <v>0</v>
      </c>
    </row>
    <row r="98" ht="30" customHeight="1" s="36">
      <c r="A98" s="21" t="n">
        <v>90</v>
      </c>
      <c r="B98" s="21" t="inlineStr">
        <is>
          <t>ND6</t>
        </is>
      </c>
      <c r="C98" s="21" t="inlineStr">
        <is>
          <t>Tuần 17</t>
        </is>
      </c>
      <c r="D98" s="24" t="inlineStr">
        <is>
          <t>Chương 5 thảo luận và kết luận: vì sao K2 nguy hiểm hơn, vì sao không cơ chế nào chặn hết, ý nghĩa ARR thấp; HẠN CHẾ trung thực; phản hồi người dùng; hướng phát triển</t>
        </is>
      </c>
      <c r="E98" s="24" t="inlineStr">
        <is>
          <t>Chương 5</t>
        </is>
      </c>
      <c r="F98" s="21" t="inlineStr">
        <is>
          <t>28/12/2026</t>
        </is>
      </c>
      <c r="G98" s="21" t="inlineStr">
        <is>
          <t>08/01/2027</t>
        </is>
      </c>
      <c r="H98" s="21" t="inlineStr">
        <is>
          <t>Chưa bắt đầu</t>
        </is>
      </c>
      <c r="I98" s="24" t="inlineStr">
        <is>
          <t>Phần hạn chế không né tránh</t>
        </is>
      </c>
      <c r="J98" s="26" t="inlineStr">
        <is>
          <t>Claude nháp chương 5 thảo luận và kết luận; TA viết phần hạn chế bằng giọng trung thực của mình.</t>
        </is>
      </c>
      <c r="K98" s="28" t="n">
        <v>6</v>
      </c>
    </row>
    <row r="99" ht="30" customHeight="1" s="36">
      <c r="A99" s="21" t="n">
        <v>91</v>
      </c>
      <c r="B99" s="21" t="inlineStr">
        <is>
          <t>ND6</t>
        </is>
      </c>
      <c r="C99" s="21" t="inlineStr">
        <is>
          <t>Tuần 17</t>
        </is>
      </c>
      <c r="D99" s="24" t="inlineStr">
        <is>
          <t>Mục đạo đức và danh mục tài liệu tham khảo: chỉ tấn công hệ tự dựng cô lập, dữ liệu Faker, MCPTox chỉ mô phỏng; xuất Zotero, kiểm lại từng trích dẫn từ nguồn gốc</t>
        </is>
      </c>
      <c r="E99" s="24" t="inlineStr">
        <is>
          <t>Mục đạo đức + danh mục TLTK</t>
        </is>
      </c>
      <c r="F99" s="21" t="inlineStr">
        <is>
          <t>28/12/2026</t>
        </is>
      </c>
      <c r="G99" s="21" t="inlineStr">
        <is>
          <t>08/01/2027</t>
        </is>
      </c>
      <c r="H99" s="21" t="inlineStr">
        <is>
          <t>Chưa bắt đầu</t>
        </is>
      </c>
      <c r="I99" s="24" t="inlineStr">
        <is>
          <t>100% trích dẫn kiểm lại — không tin trí nhớ</t>
        </is>
      </c>
      <c r="J99" s="26" t="inlineStr">
        <is>
          <t>Claude soạn mục đạo đức và xuất danh mục TLTK từ Zotero; TA kiểm lại 100% trích dẫn.</t>
        </is>
      </c>
      <c r="K99" s="28" t="n">
        <v>3</v>
      </c>
    </row>
    <row r="100" ht="30" customHeight="1" s="36">
      <c r="A100" s="21" t="n">
        <v>92</v>
      </c>
      <c r="B100" s="21" t="inlineStr">
        <is>
          <t>ND6</t>
        </is>
      </c>
      <c r="C100" s="21" t="inlineStr">
        <is>
          <t>Tuần 17</t>
        </is>
      </c>
      <c r="D100" s="24" t="inlineStr">
        <is>
          <t>Dọn repo để công bố: README, xóa mọi khóa API và quét gitleaks, LICENSE + CITATION.cff, test lại trên máy sạch</t>
        </is>
      </c>
      <c r="E100" s="24" t="inlineStr">
        <is>
          <t>Repo công bố được</t>
        </is>
      </c>
      <c r="F100" s="21" t="inlineStr">
        <is>
          <t>28/12/2026</t>
        </is>
      </c>
      <c r="G100" s="21" t="inlineStr">
        <is>
          <t>08/01/2027</t>
        </is>
      </c>
      <c r="H100" s="21" t="inlineStr">
        <is>
          <t>Chưa bắt đầu</t>
        </is>
      </c>
      <c r="I100" s="24" t="n"/>
      <c r="J100" s="26" t="inlineStr">
        <is>
          <t>Claude quét khóa API (gitleaks), soạn README/LICENSE/CITATION; TA test lại trên máy sạch.</t>
        </is>
      </c>
      <c r="K100" s="28" t="n">
        <v>3</v>
      </c>
    </row>
    <row r="101" ht="30" customHeight="1" s="36">
      <c r="A101" s="21" t="n">
        <v>93</v>
      </c>
      <c r="B101" s="21" t="inlineStr">
        <is>
          <t>ND6</t>
        </is>
      </c>
      <c r="C101" s="21" t="inlineStr">
        <is>
          <t>Tuần 17</t>
        </is>
      </c>
      <c r="D101" s="24" t="inlineStr">
        <is>
          <t>Slide bảo vệ 15–18 trang: vấn đề, vì sao tự dựng, taxonomy, kiến trúc, đo bằng canary, kết quả nền, đánh đổi, thích ứng, harness, phản hồi người dùng, demo, kết luận</t>
        </is>
      </c>
      <c r="E101" s="24" t="inlineStr">
        <is>
          <t>slides.pptx</t>
        </is>
      </c>
      <c r="F101" s="21" t="inlineStr">
        <is>
          <t>28/12/2026</t>
        </is>
      </c>
      <c r="G101" s="21" t="inlineStr">
        <is>
          <t>08/01/2027</t>
        </is>
      </c>
      <c r="H101" s="21" t="inlineStr">
        <is>
          <t>Chưa bắt đầu</t>
        </is>
      </c>
      <c r="I101" s="24" t="inlineStr">
        <is>
          <t>Mỗi slide 1 thông điệp, chữ ≥24pt; slide Pareto 2 bộ điểm là trọng tâm</t>
        </is>
      </c>
      <c r="J101" s="26" t="inlineStr">
        <is>
          <t>Claude dựng slide 15–18 trang, mỗi slide một thông điệp; TA duyệt trọng tâm Pareto.</t>
        </is>
      </c>
      <c r="K101" s="28" t="n">
        <v>4</v>
      </c>
    </row>
    <row r="102" ht="30" customHeight="1" s="36">
      <c r="A102" s="21" t="n">
        <v>94</v>
      </c>
      <c r="B102" s="21" t="inlineStr">
        <is>
          <t>ND6</t>
        </is>
      </c>
      <c r="C102" s="21" t="inlineStr">
        <is>
          <t>Tuần 17</t>
        </is>
      </c>
      <c r="D102" s="24" t="inlineStr">
        <is>
          <t>Chuẩn bị phản biện: 15 câu hỏi dự kiến, mỗi câu trả lời ≤60 giây có số liệu kèm theo; diễn tập bảo vệ đủ 15 phút với người khác</t>
        </is>
      </c>
      <c r="E102" s="24" t="inlineStr">
        <is>
          <t>docs/qa_prep.md</t>
        </is>
      </c>
      <c r="F102" s="21" t="inlineStr">
        <is>
          <t>28/12/2026</t>
        </is>
      </c>
      <c r="G102" s="21" t="inlineStr">
        <is>
          <t>08/01/2027</t>
        </is>
      </c>
      <c r="H102" s="21" t="inlineStr">
        <is>
          <t>Chưa bắt đầu</t>
        </is>
      </c>
      <c r="I102" s="24" t="n"/>
      <c r="J102" s="26" t="inlineStr">
        <is>
          <t>Claude sinh 15 câu phản biện dự kiến kèm câu trả lời ≤60s có số liệu; TA diễn tập.</t>
        </is>
      </c>
      <c r="K102" s="28" t="n">
        <v>5</v>
      </c>
    </row>
    <row r="103" ht="30" customHeight="1" s="36">
      <c r="A103" s="21" t="n">
        <v>95</v>
      </c>
      <c r="B103" s="21" t="inlineStr">
        <is>
          <t>ND6</t>
        </is>
      </c>
      <c r="C103" s="21" t="inlineStr">
        <is>
          <t>Tuần 17</t>
        </is>
      </c>
      <c r="D103" s="24" t="inlineStr">
        <is>
          <t>Đối chiếu trôi model/harness trước bảo vệ: chạy lại 20 mẫu của giai đoạn nền, lệch &gt;10 điểm phần trăm thì báo cáo là trôi mô hình</t>
        </is>
      </c>
      <c r="E103" s="24" t="inlineStr">
        <is>
          <t>Mục trong analysis.ipynb</t>
        </is>
      </c>
      <c r="F103" s="21" t="inlineStr">
        <is>
          <t>28/12/2026</t>
        </is>
      </c>
      <c r="G103" s="21" t="inlineStr">
        <is>
          <t>08/01/2027</t>
        </is>
      </c>
      <c r="H103" s="21" t="inlineStr">
        <is>
          <t>Chưa bắt đầu</t>
        </is>
      </c>
      <c r="I103" s="24" t="inlineStr">
        <is>
          <t>Kiểm tính tái lập</t>
        </is>
      </c>
      <c r="J103" s="26" t="inlineStr">
        <is>
          <t>Claude chạy lại 20 mẫu và so lệch để kiểm trôi mô hình trước bảo vệ.</t>
        </is>
      </c>
      <c r="K103" s="28" t="n">
        <v>3</v>
      </c>
    </row>
    <row r="104">
      <c r="A104" s="21" t="n">
        <v>96</v>
      </c>
      <c r="B104" s="21" t="inlineStr">
        <is>
          <t>ND6</t>
        </is>
      </c>
      <c r="C104" s="21" t="inlineStr">
        <is>
          <t>Tuần 17</t>
        </is>
      </c>
      <c r="D104" s="24" t="inlineStr">
        <is>
          <t>Nộp quyển và bảo vệ đồ án tốt nghiệp</t>
        </is>
      </c>
      <c r="E104" s="24" t="inlineStr">
        <is>
          <t>Quyển báo cáo + bảo vệ</t>
        </is>
      </c>
      <c r="F104" s="21" t="inlineStr">
        <is>
          <t>28/12/2026</t>
        </is>
      </c>
      <c r="G104" s="21" t="inlineStr">
        <is>
          <t>08/01/2027</t>
        </is>
      </c>
      <c r="H104" s="21" t="inlineStr">
        <is>
          <t>Chưa bắt đầu</t>
        </is>
      </c>
      <c r="I104" s="24" t="inlineStr">
        <is>
          <t>Hạn theo phiếu giao nhiệm vụ: 08/01/2027</t>
        </is>
      </c>
      <c r="J104" s="26" t="inlineStr">
        <is>
          <t>Việc con người — TA tự bảo vệ; Claude hỗ trợ tổng duyệt và bấm giờ phần trình bày.</t>
        </is>
      </c>
      <c r="K104" s="28" t="n">
        <v>6</v>
      </c>
    </row>
  </sheetData>
  <autoFilter ref="A1:K104"/>
  <mergeCells count="6">
    <mergeCell ref="A85:J85"/>
    <mergeCell ref="A31:J31"/>
    <mergeCell ref="A12:J12"/>
    <mergeCell ref="A20:J20"/>
    <mergeCell ref="A2:J2"/>
    <mergeCell ref="A66:J6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zoomScale="113" zoomScaleNormal="113" workbookViewId="0">
      <selection activeCell="B5" sqref="B5"/>
    </sheetView>
  </sheetViews>
  <sheetFormatPr baseColWidth="10" defaultColWidth="8.6640625" defaultRowHeight="15"/>
  <cols>
    <col width="9" customWidth="1" style="36" min="1" max="1"/>
    <col width="16" customWidth="1" style="36" min="2" max="2"/>
    <col width="70" customWidth="1" style="36" min="3" max="3"/>
    <col width="45" customWidth="1" style="36" min="4" max="4"/>
    <col width="18" customWidth="1" style="36" min="5" max="5"/>
    <col width="13" customWidth="1" style="36" min="6" max="6"/>
  </cols>
  <sheetData>
    <row r="1" ht="24" customHeight="1" s="36">
      <c r="A1" s="18" t="inlineStr">
        <is>
          <t>Mốc</t>
        </is>
      </c>
      <c r="B1" s="19" t="inlineStr">
        <is>
          <t>Trạng thái</t>
        </is>
      </c>
      <c r="C1" s="19" t="inlineStr">
        <is>
          <t>Tiêu chí nghiệm thu</t>
        </is>
      </c>
      <c r="D1" s="19" t="inlineStr">
        <is>
          <t>Xử lý khi TRƯỢT</t>
        </is>
      </c>
      <c r="E1" s="18" t="inlineStr">
        <is>
          <t>Nội dung (phiếu)</t>
        </is>
      </c>
      <c r="F1" s="18" t="inlineStr">
        <is>
          <t>Hạn</t>
        </is>
      </c>
    </row>
    <row r="2" ht="26" customHeight="1" s="36">
      <c r="A2" t="inlineStr">
        <is>
          <t>M0</t>
        </is>
      </c>
      <c r="B2" s="4" t="inlineStr">
        <is>
          <t>Xong</t>
        </is>
      </c>
      <c r="C2" s="1" t="inlineStr">
        <is>
          <t>Chốt bài toán · fit_gap có bằng chứng chạy thật · threat model 2 mức · persona · checklist ký</t>
        </is>
      </c>
      <c r="D2" s="2" t="inlineStr">
        <is>
          <t>—</t>
        </is>
      </c>
      <c r="E2" t="inlineStr">
        <is>
          <t>ND1 · Tuần 3</t>
        </is>
      </c>
      <c r="F2" t="inlineStr">
        <is>
          <t>27/09/2026</t>
        </is>
      </c>
    </row>
    <row r="3">
      <c r="A3" t="inlineStr">
        <is>
          <t>M1</t>
        </is>
      </c>
      <c r="B3" s="4" t="inlineStr">
        <is>
          <t>Xong</t>
        </is>
      </c>
      <c r="C3" s="1" t="inlineStr">
        <is>
          <t>Bộ đo khóa v-bench-1.0 (60 câu + 6 tác vụ chở + trace schema)</t>
        </is>
      </c>
      <c r="D3" s="2" t="inlineStr">
        <is>
          <t>—</t>
        </is>
      </c>
      <c r="E3" t="inlineStr">
        <is>
          <t>ND3 · Tuần 6</t>
        </is>
      </c>
      <c r="F3" t="inlineStr">
        <is>
          <t>18/10/2026</t>
        </is>
      </c>
    </row>
    <row r="4" ht="26" customHeight="1" s="36">
      <c r="A4" t="inlineStr">
        <is>
          <t>M1b</t>
        </is>
      </c>
      <c r="B4" s="3" t="inlineStr">
        <is>
          <t>Chưa bắt đầu</t>
        </is>
      </c>
      <c r="C4" s="1" t="inlineStr">
        <is>
          <t>Bộ model chốt + v-models-1.0 · cost_budget hết TODO · hạn mức đã đặt · phụ lục GVHD ký</t>
        </is>
      </c>
      <c r="D4" s="2" t="inlineStr">
        <is>
          <t>Chưa ký → chạy theo phạm vi và bộ model cũ, không tự đổi model</t>
        </is>
      </c>
      <c r="E4" t="inlineStr">
        <is>
          <t>ND2 · Tuần 5</t>
        </is>
      </c>
      <c r="F4" t="inlineStr">
        <is>
          <t>11/10/2026</t>
        </is>
      </c>
    </row>
    <row r="5" ht="26" customHeight="1" s="36">
      <c r="A5" t="inlineStr">
        <is>
          <t>M2</t>
        </is>
      </c>
      <c r="B5" s="3" t="inlineStr">
        <is>
          <t>Chưa bắt đầu</t>
        </is>
      </c>
      <c r="C5" s="1" t="inlineStr">
        <is>
          <t>Agent E2E + trace đủ · scorer 8/8 · trace phân biệt blocked_by · USR nền 3 model</t>
        </is>
      </c>
      <c r="D5" s="2" t="inlineStr">
        <is>
          <t>Không 8/8 → KHÔNG sang Bước 5</t>
        </is>
      </c>
      <c r="E5" t="inlineStr">
        <is>
          <t>ND4 · Tuần 10</t>
        </is>
      </c>
      <c r="F5" t="inlineStr">
        <is>
          <t>15/11/2026</t>
        </is>
      </c>
    </row>
    <row r="6" ht="26" customHeight="1" s="36">
      <c r="A6" t="inlineStr">
        <is>
          <t>M3</t>
        </is>
      </c>
      <c r="B6" s="3" t="inlineStr">
        <is>
          <t>Chưa bắt đầu</t>
        </is>
      </c>
      <c r="C6" s="1" t="inlineStr">
        <is>
          <t>≥300 mẫu truy được nguồn gốc · 2 kênh có nhãn delivered · mutator có activation_check</t>
        </is>
      </c>
      <c r="D6" s="2" t="inlineStr">
        <is>
          <t>Chỉ 1 kênh → đi tiếp với kênh đó, ghi hạn chế</t>
        </is>
      </c>
      <c r="E6" t="inlineStr">
        <is>
          <t>ND4 · Tuần 11</t>
        </is>
      </c>
      <c r="F6" t="inlineStr">
        <is>
          <t>22/11/2026</t>
        </is>
      </c>
    </row>
    <row r="7" ht="24" customHeight="1" s="36">
      <c r="A7" t="inlineStr">
        <is>
          <t>M3b</t>
        </is>
      </c>
      <c r="B7" s="3" t="inlineStr">
        <is>
          <t>Chưa bắt đầu</t>
        </is>
      </c>
      <c r="C7" s="1" t="inlineStr">
        <is>
          <t>≥2/3 kỹ thuật mới (T6–T8) chạy được + activation_check · v-attack-1.0</t>
        </is>
      </c>
      <c r="D7" s="2" t="inlineStr">
        <is>
          <t>Chỉ xong T8 vẫn đi tiếp — đủ để có đóng góp mới</t>
        </is>
      </c>
      <c r="E7" t="inlineStr">
        <is>
          <t>ND4 · Tuần 12</t>
        </is>
      </c>
      <c r="F7" t="inlineStr">
        <is>
          <t>29/11/2026</t>
        </is>
      </c>
    </row>
    <row r="8" ht="26" customHeight="1" s="36">
      <c r="A8" t="inlineStr">
        <is>
          <t>M4</t>
        </is>
      </c>
      <c r="B8" s="3" t="inlineStr">
        <is>
          <t>Chưa bắt đầu</t>
        </is>
      </c>
      <c r="C8" s="1" t="inlineStr">
        <is>
          <t>ASR pilot 20–80% (hoặc đã áp §7) · bảng ASR 2 chỉ số 3 model · refusal_rate · RQ1,RQ2</t>
        </is>
      </c>
      <c r="D8" s="2" t="inlineStr">
        <is>
          <t>Kích hoạt cắt giảm §6 NGAY trong ngày</t>
        </is>
      </c>
      <c r="E8" t="inlineStr">
        <is>
          <t>ND5 · Tuần 14</t>
        </is>
      </c>
      <c r="F8" t="inlineStr">
        <is>
          <t>13/12/2026</t>
        </is>
      </c>
    </row>
    <row r="9" ht="36" customHeight="1" s="36">
      <c r="A9" t="inlineStr">
        <is>
          <t>M5</t>
        </is>
      </c>
      <c r="B9" s="3" t="inlineStr">
        <is>
          <t>Chưa bắt đầu</t>
        </is>
      </c>
      <c r="C9" s="1" t="inlineStr">
        <is>
          <t>D1–D4 có unit test · ≥6 cấu hình × 3 model mỗi cái CÓ CẢ ASR+utility · Pareto · RQ3,RQ4</t>
        </is>
      </c>
      <c r="D9" s="2" t="inlineStr">
        <is>
          <t>Thiếu utility KHÔNG chấp nhận — cắt cấu hình giữ yêu cầu 2 số</t>
        </is>
      </c>
      <c r="E9" t="inlineStr">
        <is>
          <t>ND5 · Tuần 15</t>
        </is>
      </c>
      <c r="F9" t="inlineStr">
        <is>
          <t>20/12/2026</t>
        </is>
      </c>
    </row>
    <row r="10" ht="36" customHeight="1" s="36">
      <c r="A10" t="inlineStr">
        <is>
          <t>M6</t>
        </is>
      </c>
      <c r="B10" s="3" t="inlineStr">
        <is>
          <t>Chưa bắt đầu</t>
        </is>
      </c>
      <c r="C10" s="1" t="inlineStr">
        <is>
          <t>Bảng đối chiếu D1–D4 ↔ 2 harness · ASR từng harness vs vòng lặp trần cùng model (RQ6a, 6b) · ánh xạ lớp kiểm soát (6c) · threats to validity</t>
        </is>
      </c>
      <c r="D10" s="2" t="inlineStr">
        <is>
          <t>HN-CC trên A2, A3 không đạt điều kiện → bỏ, không cần ký lại. HN-CC trên A1 hoặc HN-OW không đạt → khai rõ lý do, ký lại hạng mục harness</t>
        </is>
      </c>
      <c r="E10" t="inlineStr">
        <is>
          <t>ND6 · Tuần 16</t>
        </is>
      </c>
      <c r="F10" t="inlineStr">
        <is>
          <t>27/12/2026</t>
        </is>
      </c>
    </row>
    <row r="11" ht="26" customHeight="1" s="36">
      <c r="A11" t="inlineStr">
        <is>
          <t>M7</t>
        </is>
      </c>
      <c r="B11" s="3" t="inlineStr">
        <is>
          <t>Chưa bắt đầu</t>
        </is>
      </c>
      <c r="C11" s="1" t="inlineStr">
        <is>
          <t>ARR ≥2 cơ chế · Pareto 2 bộ điểm · dashboard · demo ≤90s ≥5 lần không lỗi + video</t>
        </is>
      </c>
      <c r="D11" s="2" t="inlineStr">
        <is>
          <t>Demo lỗi lần 5 → dùng video</t>
        </is>
      </c>
      <c r="E11" t="inlineStr">
        <is>
          <t>ND6 · Tuần 16</t>
        </is>
      </c>
      <c r="F11" t="inlineStr">
        <is>
          <t>27/12/2026</t>
        </is>
      </c>
    </row>
    <row r="12" ht="26" customHeight="1" s="36">
      <c r="A12" t="inlineStr">
        <is>
          <t>M8</t>
        </is>
      </c>
      <c r="B12" s="3" t="inlineStr">
        <is>
          <t>Chưa bắt đầu</t>
        </is>
      </c>
      <c r="C12" s="1" t="inlineStr">
        <is>
          <t>Báo cáo 5 chương · repo chạy máy sạch · slide 15–18 · 15 câu phản biện</t>
        </is>
      </c>
      <c r="D12" s="2" t="inlineStr">
        <is>
          <t>Còn nguyên tuần 16 = chạy đúng</t>
        </is>
      </c>
      <c r="E12" t="inlineStr">
        <is>
          <t>ND6 · Tuần 17</t>
        </is>
      </c>
      <c r="F12" t="inlineStr">
        <is>
          <t>08/01/2027</t>
        </is>
      </c>
    </row>
  </sheetData>
  <dataValidations count="1">
    <dataValidation sqref="A2:A12" showDropDown="0" showInputMessage="0" showErrorMessage="0" allowBlank="1" type="list">
      <formula1>"Chưa bắt đầu,Đang làm,Xong,Tạm dừng"</formula1>
      <formula2>0</formula2>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10" defaultColWidth="8.83203125" defaultRowHeight="15"/>
  <cols>
    <col width="16" customWidth="1" style="36" min="1" max="1"/>
    <col width="14" customWidth="1" style="36" min="2" max="2"/>
    <col width="10" customWidth="1" style="36" min="3" max="3"/>
    <col width="16" customWidth="1" style="36" min="4" max="4"/>
    <col width="24" customWidth="1" style="36" min="5" max="5"/>
    <col width="14" customWidth="1" style="36" min="6" max="6"/>
    <col width="12" customWidth="1" style="36" min="7" max="7"/>
  </cols>
  <sheetData>
    <row r="1" ht="16" customHeight="1" s="36">
      <c r="A1" s="17" t="inlineStr">
        <is>
          <t>Nội dung</t>
        </is>
      </c>
      <c r="B1" s="17" t="inlineStr">
        <is>
          <t>Tuần</t>
        </is>
      </c>
      <c r="C1" s="17" t="inlineStr">
        <is>
          <t>Số tuần</t>
        </is>
      </c>
      <c r="D1" s="17" t="inlineStr">
        <is>
          <t>Sức chứa (giờ)</t>
        </is>
      </c>
      <c r="E1" s="17" t="inlineStr">
        <is>
          <t>Khối lượng ước tính (giờ)</t>
        </is>
      </c>
      <c r="F1" s="17" t="inlineStr">
        <is>
          <t>Chênh (giờ)</t>
        </is>
      </c>
      <c r="G1" s="17" t="inlineStr">
        <is>
          <t>Số đầu việc</t>
        </is>
      </c>
    </row>
    <row r="2">
      <c r="A2" t="inlineStr">
        <is>
          <t>ND1</t>
        </is>
      </c>
      <c r="B2" t="inlineStr">
        <is>
          <t>Tuần 1–3</t>
        </is>
      </c>
      <c r="C2" t="n">
        <v>3</v>
      </c>
      <c r="D2">
        <f>C2*$B$11</f>
        <v/>
      </c>
      <c r="E2">
        <f>SUMIF('Kế hoạch chi tiết'!$B:$B,A2,'Kế hoạch chi tiết'!$K:$K)</f>
        <v/>
      </c>
      <c r="F2">
        <f>D2-E2</f>
        <v/>
      </c>
      <c r="G2">
        <f>COUNTIFS('Kế hoạch chi tiết'!$B:$B,A2,'Kế hoạch chi tiết'!$H:$H,"&lt;&gt;Đã cắt")</f>
        <v/>
      </c>
    </row>
    <row r="3">
      <c r="A3" t="inlineStr">
        <is>
          <t>ND2</t>
        </is>
      </c>
      <c r="B3" t="inlineStr">
        <is>
          <t>Tuần 4–5</t>
        </is>
      </c>
      <c r="C3" t="n">
        <v>2</v>
      </c>
      <c r="D3">
        <f>C3*$B$11</f>
        <v/>
      </c>
      <c r="E3">
        <f>SUMIF('Kế hoạch chi tiết'!$B:$B,A3,'Kế hoạch chi tiết'!$K:$K)</f>
        <v/>
      </c>
      <c r="F3">
        <f>D3-E3</f>
        <v/>
      </c>
      <c r="G3">
        <f>COUNTIFS('Kế hoạch chi tiết'!$B:$B,A3,'Kế hoạch chi tiết'!$H:$H,"&lt;&gt;Đã cắt")</f>
        <v/>
      </c>
    </row>
    <row r="4">
      <c r="A4" t="inlineStr">
        <is>
          <t>ND3</t>
        </is>
      </c>
      <c r="B4" t="inlineStr">
        <is>
          <t>Tuần 6–8</t>
        </is>
      </c>
      <c r="C4" t="n">
        <v>3</v>
      </c>
      <c r="D4">
        <f>C4*$B$11</f>
        <v/>
      </c>
      <c r="E4">
        <f>SUMIF('Kế hoạch chi tiết'!$B:$B,A4,'Kế hoạch chi tiết'!$K:$K)</f>
        <v/>
      </c>
      <c r="F4">
        <f>D4-E4</f>
        <v/>
      </c>
      <c r="G4">
        <f>COUNTIFS('Kế hoạch chi tiết'!$B:$B,A4,'Kế hoạch chi tiết'!$H:$H,"&lt;&gt;Đã cắt")</f>
        <v/>
      </c>
    </row>
    <row r="5">
      <c r="A5" t="inlineStr">
        <is>
          <t>ND4</t>
        </is>
      </c>
      <c r="B5" t="inlineStr">
        <is>
          <t>Tuần 9–12</t>
        </is>
      </c>
      <c r="C5" t="n">
        <v>4</v>
      </c>
      <c r="D5">
        <f>C5*$B$11</f>
        <v/>
      </c>
      <c r="E5">
        <f>SUMIF('Kế hoạch chi tiết'!$B:$B,A5,'Kế hoạch chi tiết'!$K:$K)</f>
        <v/>
      </c>
      <c r="F5">
        <f>D5-E5</f>
        <v/>
      </c>
      <c r="G5">
        <f>COUNTIFS('Kế hoạch chi tiết'!$B:$B,A5,'Kế hoạch chi tiết'!$H:$H,"&lt;&gt;Đã cắt")</f>
        <v/>
      </c>
    </row>
    <row r="6">
      <c r="A6" t="inlineStr">
        <is>
          <t>ND5</t>
        </is>
      </c>
      <c r="B6" t="inlineStr">
        <is>
          <t>Tuần 13–15</t>
        </is>
      </c>
      <c r="C6" t="n">
        <v>3</v>
      </c>
      <c r="D6">
        <f>C6*$B$11</f>
        <v/>
      </c>
      <c r="E6">
        <f>SUMIF('Kế hoạch chi tiết'!$B:$B,A6,'Kế hoạch chi tiết'!$K:$K)</f>
        <v/>
      </c>
      <c r="F6">
        <f>D6-E6</f>
        <v/>
      </c>
      <c r="G6">
        <f>COUNTIFS('Kế hoạch chi tiết'!$B:$B,A6,'Kế hoạch chi tiết'!$H:$H,"&lt;&gt;Đã cắt")</f>
        <v/>
      </c>
    </row>
    <row r="7">
      <c r="A7" t="inlineStr">
        <is>
          <t>ND6</t>
        </is>
      </c>
      <c r="B7" t="inlineStr">
        <is>
          <t>Tuần 16–17</t>
        </is>
      </c>
      <c r="C7" t="n">
        <v>2</v>
      </c>
      <c r="D7">
        <f>C7*$B$11</f>
        <v/>
      </c>
      <c r="E7">
        <f>SUMIF('Kế hoạch chi tiết'!$B:$B,A7,'Kế hoạch chi tiết'!$K:$K)</f>
        <v/>
      </c>
      <c r="F7">
        <f>D7-E7</f>
        <v/>
      </c>
      <c r="G7">
        <f>COUNTIFS('Kế hoạch chi tiết'!$B:$B,A7,'Kế hoạch chi tiết'!$H:$H,"&lt;&gt;Đã cắt")</f>
        <v/>
      </c>
    </row>
    <row r="8">
      <c r="A8" s="29" t="inlineStr">
        <is>
          <t>Tổng</t>
        </is>
      </c>
      <c r="B8" s="29" t="n"/>
      <c r="C8" s="29">
        <f>SUM(C2:C7)</f>
        <v/>
      </c>
      <c r="D8" s="29">
        <f>SUM(D2:D7)</f>
        <v/>
      </c>
      <c r="E8" s="29">
        <f>SUM(E2:E7)</f>
        <v/>
      </c>
      <c r="F8" s="29">
        <f>SUM(F2:F7)</f>
        <v/>
      </c>
      <c r="G8" s="29">
        <f>SUM(G2:G7)</f>
        <v/>
      </c>
    </row>
    <row r="10">
      <c r="A10" s="29" t="inlineStr">
        <is>
          <t>Tham số</t>
        </is>
      </c>
    </row>
    <row r="11">
      <c r="A11" t="inlineStr">
        <is>
          <t>Giờ làm việc mỗi tuần</t>
        </is>
      </c>
      <c r="B11" t="n">
        <v>20</v>
      </c>
    </row>
    <row r="13">
      <c r="A13" s="29" t="inlineStr">
        <is>
          <t>Ghi chú</t>
        </is>
      </c>
    </row>
    <row r="14">
      <c r="A14" s="35" t="inlineStr">
        <is>
          <t>Giờ ước tính ở cột K của sheet "Kế hoạch chi tiết", đã tính có Claude hỗ trợ viết mã và nháp; TA rà lại theo thực tế. Chênh âm = vượt sức chứa của Nội dung đó.</t>
        </is>
      </c>
    </row>
    <row r="15"/>
    <row r="16"/>
  </sheetData>
  <mergeCells count="1">
    <mergeCell ref="A14:G1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6"/>
  <sheetViews>
    <sheetView zoomScale="141" zoomScaleNormal="141" workbookViewId="0">
      <selection activeCell="A1" sqref="A1"/>
    </sheetView>
  </sheetViews>
  <sheetFormatPr baseColWidth="10" defaultRowHeight="15"/>
  <cols>
    <col width="6.33203125" customWidth="1" style="36" min="1" max="1"/>
    <col width="50" customWidth="1" style="36" min="2" max="2"/>
    <col width="28.33203125" customWidth="1" style="36" min="3" max="3"/>
    <col width="12.5" customWidth="1" style="36" min="4" max="5"/>
    <col width="13.33203125" customWidth="1" style="36" min="6" max="6"/>
    <col width="15.83203125" customWidth="1" style="36" min="7" max="7"/>
    <col width="31.6640625" customWidth="1" style="36" min="8" max="8"/>
  </cols>
  <sheetData>
    <row r="1" ht="21" customHeight="1" s="36">
      <c r="A1" s="5" t="inlineStr">
        <is>
          <t>BÁO CÁO CÔNG VIỆC THỰC HIỆN</t>
        </is>
      </c>
    </row>
    <row r="2">
      <c r="A2" s="6" t="inlineStr">
        <is>
          <t>Người báo cáo: Kiều Thành Anh</t>
        </is>
      </c>
      <c r="B2" s="16" t="n"/>
      <c r="D2" s="6" t="n"/>
      <c r="E2" s="9" t="n"/>
    </row>
    <row r="3">
      <c r="A3" s="6" t="inlineStr">
        <is>
          <t>Kỳ báo cáo (2 tuần qua):</t>
        </is>
      </c>
      <c r="B3" s="10" t="n">
        <v>46272</v>
      </c>
      <c r="C3" s="11" t="inlineStr">
        <is>
          <t>đến</t>
        </is>
      </c>
      <c r="D3" s="10" t="n">
        <v>46285</v>
      </c>
      <c r="E3" s="6" t="n"/>
      <c r="F3" s="10" t="n"/>
    </row>
    <row r="4">
      <c r="A4" s="6" t="inlineStr">
        <is>
          <t>Kỳ kế hoạch (2 tuần tới):</t>
        </is>
      </c>
      <c r="B4" s="10" t="n">
        <v>46286</v>
      </c>
      <c r="C4" s="11" t="inlineStr">
        <is>
          <t>đến</t>
        </is>
      </c>
      <c r="D4" s="10" t="n">
        <v>46299</v>
      </c>
      <c r="E4" s="6" t="n"/>
      <c r="F4" s="9" t="n"/>
    </row>
    <row r="6" ht="16" customHeight="1" s="36">
      <c r="A6" s="41" t="inlineStr">
        <is>
          <t>I. CÔNG VIỆC ĐÃ THỰC HIỆN</t>
        </is>
      </c>
      <c r="B6" s="42" t="n"/>
      <c r="C6" s="42" t="n"/>
      <c r="D6" s="42" t="n"/>
      <c r="E6" s="42" t="n"/>
      <c r="F6" s="42" t="n"/>
      <c r="G6" s="42" t="n"/>
      <c r="H6" s="42" t="n"/>
    </row>
    <row r="7" ht="16" customHeight="1" s="36">
      <c r="A7" s="37" t="inlineStr">
        <is>
          <t>STT</t>
        </is>
      </c>
      <c r="B7" s="37" t="inlineStr">
        <is>
          <t>Đầu việc</t>
        </is>
      </c>
      <c r="C7" s="37" t="inlineStr">
        <is>
          <t>Đầu ra / Kết quả</t>
        </is>
      </c>
      <c r="D7" s="37" t="inlineStr">
        <is>
          <t>Bắt đầu</t>
        </is>
      </c>
      <c r="E7" s="37" t="inlineStr">
        <is>
          <t>Deadline</t>
        </is>
      </c>
      <c r="F7" s="37" t="inlineStr">
        <is>
          <t>% hoàn thành</t>
        </is>
      </c>
      <c r="G7" s="37" t="inlineStr">
        <is>
          <t>Trạng thái</t>
        </is>
      </c>
      <c r="H7" s="37" t="inlineStr">
        <is>
          <t>Vướng mắc / Ghi chú</t>
        </is>
      </c>
    </row>
    <row r="8" ht="34" customHeight="1" s="36">
      <c r="A8" s="8" t="n">
        <v>1</v>
      </c>
      <c r="B8" s="40" t="inlineStr">
        <is>
          <t>Viết chi tiết mô tải bài toán</t>
        </is>
      </c>
      <c r="C8" s="40" t="n"/>
      <c r="D8" s="13" t="n"/>
      <c r="E8" s="13" t="n"/>
      <c r="F8" s="14" t="n"/>
      <c r="G8" s="40" t="n"/>
      <c r="H8" s="40" t="n"/>
    </row>
    <row r="9" ht="34" customHeight="1" s="36">
      <c r="A9" s="8" t="n">
        <v>2</v>
      </c>
      <c r="B9" s="40" t="inlineStr">
        <is>
          <t xml:space="preserve">Vẽ sơ đồ </t>
        </is>
      </c>
      <c r="C9" s="40" t="n"/>
      <c r="D9" s="13" t="n"/>
      <c r="E9" s="13" t="n"/>
      <c r="F9" s="14" t="n"/>
      <c r="G9" s="40" t="n"/>
      <c r="H9" s="40" t="n"/>
    </row>
    <row r="10" ht="34" customHeight="1" s="36">
      <c r="A10" s="8" t="n">
        <v>3</v>
      </c>
      <c r="B10" s="40" t="n"/>
      <c r="C10" s="40" t="n"/>
      <c r="D10" s="13" t="n"/>
      <c r="E10" s="13" t="n"/>
      <c r="F10" s="14" t="n"/>
      <c r="G10" s="40" t="n"/>
      <c r="H10" s="40" t="n"/>
    </row>
    <row r="11" ht="34" customHeight="1" s="36">
      <c r="A11" s="8" t="n">
        <v>4</v>
      </c>
      <c r="B11" s="40" t="n"/>
      <c r="C11" s="40" t="n"/>
      <c r="D11" s="13" t="n"/>
      <c r="E11" s="13" t="n"/>
      <c r="F11" s="14" t="n"/>
      <c r="G11" s="40" t="n"/>
      <c r="H11" s="40" t="n"/>
    </row>
    <row r="12" ht="34" customHeight="1" s="36">
      <c r="A12" s="8" t="n">
        <v>5</v>
      </c>
      <c r="B12" s="40" t="n"/>
      <c r="C12" s="40" t="n"/>
      <c r="D12" s="13" t="n"/>
      <c r="E12" s="13" t="n"/>
      <c r="F12" s="14" t="n"/>
      <c r="G12" s="40" t="n"/>
      <c r="H12" s="40" t="n"/>
    </row>
    <row r="14" ht="16" customHeight="1" s="36">
      <c r="A14" s="41" t="inlineStr">
        <is>
          <t>II. KẾ HOẠCH CÔNG VIỆC</t>
        </is>
      </c>
      <c r="B14" s="42" t="n"/>
      <c r="C14" s="42" t="n"/>
      <c r="D14" s="42" t="n"/>
      <c r="E14" s="42" t="n"/>
      <c r="F14" s="42" t="n"/>
      <c r="G14" s="42" t="n"/>
      <c r="H14" s="42" t="n"/>
    </row>
    <row r="15" ht="16" customHeight="1" s="36">
      <c r="A15" s="37" t="inlineStr">
        <is>
          <t>STT</t>
        </is>
      </c>
      <c r="B15" s="37" t="inlineStr">
        <is>
          <t>Đầu việc</t>
        </is>
      </c>
      <c r="C15" s="37" t="inlineStr">
        <is>
          <t>Đầu ra dự kiến</t>
        </is>
      </c>
      <c r="D15" s="37" t="inlineStr">
        <is>
          <t>Bắt đầu</t>
        </is>
      </c>
      <c r="E15" s="37" t="inlineStr">
        <is>
          <t>Deadline</t>
        </is>
      </c>
      <c r="F15" s="37" t="inlineStr">
        <is>
          <t>Ưu tiên</t>
        </is>
      </c>
      <c r="G15" s="37" t="inlineStr">
        <is>
          <t>Người phụ trách</t>
        </is>
      </c>
      <c r="H15" s="37" t="inlineStr">
        <is>
          <t>Điều kiện cần / Rủi ro</t>
        </is>
      </c>
    </row>
    <row r="16" ht="34" customHeight="1" s="36">
      <c r="A16" s="8" t="n">
        <v>1</v>
      </c>
      <c r="B16" s="40" t="n"/>
      <c r="C16" s="40" t="n"/>
      <c r="D16" s="13" t="n"/>
      <c r="E16" s="13" t="n"/>
      <c r="F16" s="15" t="n"/>
      <c r="G16" s="40" t="n"/>
      <c r="H16" s="40" t="n"/>
    </row>
    <row r="17" ht="34" customHeight="1" s="36">
      <c r="A17" s="8" t="n">
        <v>2</v>
      </c>
      <c r="B17" s="40" t="n"/>
      <c r="C17" s="40" t="n"/>
      <c r="D17" s="13" t="n"/>
      <c r="E17" s="13" t="n"/>
      <c r="F17" s="15" t="n"/>
      <c r="G17" s="40" t="n"/>
      <c r="H17" s="40" t="n"/>
    </row>
    <row r="18" ht="34" customHeight="1" s="36">
      <c r="A18" s="8" t="n">
        <v>3</v>
      </c>
      <c r="B18" s="40" t="n"/>
      <c r="C18" s="40" t="n"/>
      <c r="D18" s="13" t="n"/>
      <c r="E18" s="13" t="n"/>
      <c r="F18" s="15" t="n"/>
      <c r="G18" s="40" t="n"/>
      <c r="H18" s="40" t="n"/>
    </row>
    <row r="19" ht="34" customHeight="1" s="36">
      <c r="A19" s="8" t="n">
        <v>4</v>
      </c>
      <c r="B19" s="40" t="n"/>
      <c r="C19" s="40" t="n"/>
      <c r="D19" s="13" t="n"/>
      <c r="E19" s="13" t="n"/>
      <c r="F19" s="15" t="n"/>
      <c r="G19" s="40" t="n"/>
      <c r="H19" s="40" t="n"/>
    </row>
    <row r="20" ht="34" customHeight="1" s="36">
      <c r="A20" s="8" t="n">
        <v>5</v>
      </c>
      <c r="B20" s="40" t="n"/>
      <c r="C20" s="40" t="n"/>
      <c r="D20" s="13" t="n"/>
      <c r="E20" s="13" t="n"/>
      <c r="F20" s="15" t="n"/>
      <c r="G20" s="40" t="n"/>
      <c r="H20" s="40" t="n"/>
    </row>
    <row r="22" ht="16" customHeight="1" s="36">
      <c r="A22" s="41" t="inlineStr">
        <is>
          <t>III. VƯỚNG MẮC &amp; ĐỀ XUẤT</t>
        </is>
      </c>
      <c r="B22" s="42" t="n"/>
      <c r="C22" s="42" t="n"/>
      <c r="D22" s="42" t="n"/>
      <c r="E22" s="42" t="n"/>
      <c r="F22" s="42" t="n"/>
      <c r="G22" s="42" t="n"/>
      <c r="H22" s="42" t="n"/>
    </row>
    <row r="23" ht="16" customHeight="1" s="36">
      <c r="A23" s="37" t="inlineStr">
        <is>
          <t>STT</t>
        </is>
      </c>
      <c r="B23" s="37" t="inlineStr">
        <is>
          <t>Vấn đề / Rủi ro</t>
        </is>
      </c>
      <c r="C23" s="37" t="inlineStr">
        <is>
          <t>Ảnh hưởng</t>
        </is>
      </c>
      <c r="D23" s="37" t="inlineStr">
        <is>
          <t>Đề xuất / Hướng xử lý</t>
        </is>
      </c>
      <c r="E23" s="38" t="n"/>
      <c r="F23" s="39" t="n"/>
      <c r="G23" s="37" t="inlineStr">
        <is>
          <t>Cần hỗ trợ từ</t>
        </is>
      </c>
      <c r="H23" s="37" t="inlineStr">
        <is>
          <t>Hạn xử lý</t>
        </is>
      </c>
    </row>
    <row r="24" ht="34" customHeight="1" s="36">
      <c r="A24" s="8" t="n">
        <v>1</v>
      </c>
      <c r="B24" s="40" t="n"/>
      <c r="C24" s="40" t="n"/>
      <c r="D24" s="40" t="n"/>
      <c r="E24" s="38" t="n"/>
      <c r="F24" s="39" t="n"/>
      <c r="G24" s="40" t="n"/>
      <c r="H24" s="13" t="n"/>
    </row>
    <row r="25" ht="34" customHeight="1" s="36">
      <c r="A25" s="8" t="n">
        <v>2</v>
      </c>
      <c r="B25" s="40" t="n"/>
      <c r="C25" s="40" t="n"/>
      <c r="D25" s="40" t="n"/>
      <c r="E25" s="38" t="n"/>
      <c r="F25" s="39" t="n"/>
      <c r="G25" s="40" t="n"/>
      <c r="H25" s="13" t="n"/>
    </row>
    <row r="26" ht="34" customHeight="1" s="36">
      <c r="A26" s="8" t="n">
        <v>3</v>
      </c>
      <c r="B26" s="40" t="n"/>
      <c r="C26" s="40" t="n"/>
      <c r="D26" s="40" t="n"/>
      <c r="E26" s="38" t="n"/>
      <c r="F26" s="39" t="n"/>
      <c r="G26" s="40" t="n"/>
      <c r="H26" s="13" t="n"/>
    </row>
  </sheetData>
  <mergeCells count="7">
    <mergeCell ref="D23:F23"/>
    <mergeCell ref="D26:F26"/>
    <mergeCell ref="A14:H14"/>
    <mergeCell ref="D25:F25"/>
    <mergeCell ref="A6:H6"/>
    <mergeCell ref="A22:H22"/>
    <mergeCell ref="D24:F24"/>
  </mergeCells>
  <conditionalFormatting sqref="G8:G12">
    <cfRule type="containsText" priority="1" operator="containsText" dxfId="2" text="Hoàn thành">
      <formula>NOT(ISERROR(SEARCH("Hoàn thành",G8)))</formula>
    </cfRule>
    <cfRule type="containsText" priority="2" operator="containsText" dxfId="1" text="Chậm tiến độ">
      <formula>NOT(ISERROR(SEARCH("Chậm tiến độ",G8)))</formula>
    </cfRule>
    <cfRule type="containsText" priority="3" operator="containsText" dxfId="0" text="Đang làm">
      <formula>NOT(ISERROR(SEARCH("Đang làm",G8)))</formula>
    </cfRule>
  </conditionalFormatting>
  <dataValidations count="2">
    <dataValidation sqref="G8:G12" showDropDown="0" showInputMessage="1" showErrorMessage="1" allowBlank="1" type="list">
      <formula1>"Chưa bắt đầu,Đang làm,Hoàn thành,Chậm tiến độ,Tạm dừng"</formula1>
    </dataValidation>
    <dataValidation sqref="C24:C26 F16:F20" showDropDown="0" showInputMessage="1" showErrorMessage="1" allowBlank="1" type="list">
      <formula1>"Cao,Trung bình,Thấp"</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2026-09-07T09:07:33Z</dcterms:created>
  <dcterms:modified xmlns:dcterms="http://purl.org/dc/terms/" xmlns:xsi="http://www.w3.org/2001/XMLSchema-instance" xsi:type="dcterms:W3CDTF">2026-10-20T08:22:39Z</dcterms:modified>
  <cp:lastModifiedBy>Anh Kieu</cp:lastModifiedBy>
  <cp:revision>0</cp:revision>
</cp:coreProperties>
</file>