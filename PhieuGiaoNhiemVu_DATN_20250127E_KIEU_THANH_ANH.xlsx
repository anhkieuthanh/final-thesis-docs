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tif/Downloads/"/>
    </mc:Choice>
  </mc:AlternateContent>
  <xr:revisionPtr revIDLastSave="0" documentId="13_ncr:1_{E4E79794-BB6B-4A4E-A370-6D3056C55DD8}" xr6:coauthVersionLast="47" xr6:coauthVersionMax="47" xr10:uidLastSave="{00000000-0000-0000-0000-000000000000}"/>
  <bookViews>
    <workbookView xWindow="0" yWindow="680" windowWidth="29400" windowHeight="18440" tabRatio="822" xr2:uid="{A4C764ED-A697-7E4F-AB21-1130AE3D2115}"/>
  </bookViews>
  <sheets>
    <sheet name="Kỹ sư" sheetId="15" r:id="rId1"/>
    <sheet name="DS phân ban" sheetId="2" state="hidden" r:id="rId2"/>
  </sheets>
  <definedNames>
    <definedName name="_xlnm._FilterDatabase" localSheetId="0" hidden="1">'Kỹ sư'!$A$18:$B$22</definedName>
    <definedName name="Danh_sách_phân_ban">'DS phân ban'!$B$5:$B$24</definedName>
    <definedName name="List_of_fields">'DS phân ban'!$H$5:$H$24</definedName>
    <definedName name="_xlnm.Print_Area" localSheetId="0">'Kỹ sư'!$A$2:$K$87</definedName>
    <definedName name="Tuần">'DS phân ban'!$E$5:$E$24</definedName>
    <definedName name="Week">'DS phân ban'!$J$5:$J$24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8" i="15" l="1"/>
  <c r="H87" i="15"/>
</calcChain>
</file>

<file path=xl/sharedStrings.xml><?xml version="1.0" encoding="utf-8"?>
<sst xmlns="http://schemas.openxmlformats.org/spreadsheetml/2006/main" count="167" uniqueCount="123">
  <si>
    <t>ĐẠI HỌC BÁCH KHOA HÀ NỘI</t>
  </si>
  <si>
    <t>TRƯỜNG CÔNG NGHỆ THÔNG TIN VÀ TRUYỀN THÔNG</t>
  </si>
  <si>
    <t>PHIẾU GIAO NHIỆM VỤ ĐỒ ÁN TỐT NGHIỆP HỆ KỸ SƯ</t>
  </si>
  <si>
    <t>KỲ</t>
  </si>
  <si>
    <t>Thông tin về sinh viên</t>
  </si>
  <si>
    <t>Họ và tên sinh viên:</t>
  </si>
  <si>
    <t>MSSV:</t>
  </si>
  <si>
    <t>Điện thoại liên lạc:</t>
  </si>
  <si>
    <t>Lớp:</t>
  </si>
  <si>
    <t>Email:</t>
  </si>
  <si>
    <t>Mã lớp:</t>
  </si>
  <si>
    <t>Thông tin giáo viên hướng dẫn</t>
  </si>
  <si>
    <t>Họ và tên GVHD:</t>
  </si>
  <si>
    <t>Đồ án được thực hiện tại:</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</si>
  <si>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</si>
  <si>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</si>
  <si>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</si>
  <si>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</si>
  <si>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</si>
  <si>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</si>
  <si>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</si>
  <si>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</si>
  <si>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</si>
  <si>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</si>
  <si>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</si>
  <si>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</si>
  <si>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</si>
  <si>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</si>
  <si>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</si>
  <si>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</si>
  <si>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</si>
  <si>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</si>
  <si>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</si>
  <si>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</si>
  <si>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</si>
  <si>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</si>
  <si>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</si>
  <si>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</si>
  <si>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</si>
  <si>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Nội dung 4: Xây dựng chương trình,</t>
  </si>
  <si>
    <t>Nội dung 5: Thử nghiệm và đánh giá,</t>
  </si>
  <si>
    <t>Nội dung 6:  Triển khai trong thực tế; 
và đánh giá, phản hồi của người sử dụng,</t>
  </si>
  <si>
    <t>Chi tiết (Lưu ý: Đây là nội dung bắt buộc với đồ án tốt nghiệp kỹ sư):</t>
  </si>
  <si>
    <t>5. Lời cam đoan của sinh viên đã nhận được nhiệm vụ</t>
  </si>
  <si>
    <t>Em xin cam kết sẽ hoàn thành các nhiệm vụ theo đúng kế hoạch.</t>
  </si>
  <si>
    <t xml:space="preserve">Hà Nội, ngày        tháng        năm  </t>
  </si>
  <si>
    <t>Sinh viên</t>
  </si>
  <si>
    <t>Giảng viên hướng dẫn</t>
  </si>
  <si>
    <t>(Ký và ghi rõ họ tên)</t>
  </si>
  <si>
    <t>Trường CNTT&amp;TT</t>
  </si>
  <si>
    <t>Trí tuệ nhân tạo ứng dụng</t>
  </si>
  <si>
    <t>Học máy</t>
  </si>
  <si>
    <t>6. Xác nhận của giáo viên hướng dẫn về việc giao nhiệm vụ cho sinh viên</t>
  </si>
  <si>
    <t>Công nghệ và giải pháp chuyển đổi số giáo dục (EdTech)</t>
  </si>
  <si>
    <t>Phần mềm doanh nghiệp</t>
  </si>
  <si>
    <t>Thương mại điện tử (eCommerce) và hậu cần (Logistic)</t>
  </si>
  <si>
    <t>Danh sách phân ban</t>
  </si>
  <si>
    <t>Tuần</t>
  </si>
  <si>
    <t>STT</t>
  </si>
  <si>
    <t>Xử lý ngôn ngữ tự nhiên</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</si>
  <si>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</si>
  <si>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</si>
  <si>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</si>
  <si>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</si>
  <si>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</si>
  <si>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</si>
  <si>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</si>
  <si>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</si>
  <si>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</si>
  <si>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</si>
  <si>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</si>
  <si>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</si>
  <si>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</si>
  <si>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</si>
  <si>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</si>
  <si>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</si>
  <si>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</si>
  <si>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</si>
  <si>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</si>
  <si>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</si>
  <si>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</si>
  <si>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</si>
  <si>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</si>
  <si>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</si>
  <si>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</si>
  <si>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</si>
  <si>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</si>
  <si>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</si>
  <si>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</si>
  <si>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</si>
  <si>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</si>
  <si>
    <t>Mẫu ĐATN 02</t>
  </si>
  <si>
    <t>Hệ nhúng</t>
  </si>
  <si>
    <t>Embedded System</t>
  </si>
  <si>
    <t>List of fields</t>
  </si>
  <si>
    <t>Danh_sách_phân_ban</t>
  </si>
  <si>
    <t>='DS phân ban'!$B$5:$B$24</t>
  </si>
  <si>
    <t>List_of_fields</t>
  </si>
  <si>
    <t>='DS phân ban'!$H$5:$H$24</t>
  </si>
  <si>
    <t>='DS phân ban'!$E$5:$E$24</t>
  </si>
  <si>
    <t>Week</t>
  </si>
  <si>
    <t>='DS phân ban'!$J$5:$J$24</t>
  </si>
  <si>
    <t>2026.1</t>
  </si>
  <si>
    <t>Kiều Thành Anh</t>
  </si>
  <si>
    <t>Anh.KT250127E@sis.hust.edu.vn</t>
  </si>
  <si>
    <t>0787142077</t>
  </si>
  <si>
    <t>20250127E</t>
  </si>
  <si>
    <t>KS-GenAI-K69</t>
  </si>
  <si>
    <t>Nguyễn Đức Anh</t>
  </si>
  <si>
    <t>07/09/2026</t>
  </si>
  <si>
    <t>08/01/2027</t>
  </si>
  <si>
    <t>Hệ thống đánh giá và phòng chống Indirect Prompt Injection trên AI Agent</t>
  </si>
  <si>
    <t>- Model Context Protocol (MCP) Python SDK
- Xây dựng vòng lặp agent ReAct tự cài.
- Kỹ thuật RAG
- Trực quan hóa và phân tích dữ liệu: pandas, matplotlib.
- Docker Compose để đóng gói tái lập.</t>
  </si>
  <si>
    <t>- Khảo sát, tổng hợp và đánh giá công trình liên quan.
- Thiết kế thực nghiệm khoa học.
- Phân tích, xử lý số liệu và diễn giải kết quả kèm khoảng tin cậy.
- Xây dựng phần mềm có kiểm thử, quản lý mã nguồn bằng Git, quản lý cấu hình.
- Viết báo cáo kỹ thuật, kỹ năng thuyết trình và phản biện;
- Quản lý thời gian và rủi ro theo mốc nghiệm thu.</t>
  </si>
  <si>
    <t>- Doanh nghiệp đang triển khai trợ lý AI có quyền gọi công cụ hiện chưa có cách định lượng mức độ rủi ro tiêm nhiễm gián tiếp trên chính bối cảnh nghiệp vụ và dữ liệu tiếng Việt của mình; các bộ đo quốc tế không gộp kênh dữ liệu với kênh công cụ vào một hệ đo và không đo cái giá về tính hữu dụng của phòng thủ.
- Đồ án cung cấp công cụ để người chịu trách nhiệm an toàn trả lời ba câu hỏi vận hành: cấu hình phòng thủ nào đáng bật, đánh đổi bao nhiêu tính hữu dụng, và lỗ hổng nào chưa cơ chế nào bịt được kể cả khi kẻ tấn công đã biết trước cơ chế.</t>
  </si>
  <si>
    <t>- Tìm hiểu về các khía cạnh trong AI Security.
- Tìm hiểu cơ chế hoạt động của AI Agent dùng RAG và MCP tool-calling, con đường nội dung không tin cậy đi vào cửa sổ ngữ cảnh.
- Nghiên cứu bản chất tấn công tiêm nhiễm gián tiếp, xây dựng mô hình đe dọa và taxonomy kênh tấn công.
- Khảo sát các bộ đo và công trình liên quan, phân tích fit-gap để xác định khoảng trống và phạm vi đồ án.</t>
  </si>
  <si>
    <t>- Model Context Protocol và cách agent lấy danh sách công cụ động, tool-calling.
- Kỹ thuật RAG: embedding, vector store, truy hồi top-k, xử lý tài liệu PDF/DOCX/Markdown.
- Các kỹ thuật phòng thủ: lọc đầu vào, spotlighting, kiểm soát chính sách gọi công cụ, lọc dữ liệu ra.
- Công nghệ nền của hệ đo: FastAPI, SQLModel/SQLite, MailHog, Streamlit, Docker, pytest.</t>
  </si>
  <si>
    <t xml:space="preserve">- Thiết kế kiến trúc testbed: lõi agent, tầng công cụ MCP, kho tri thức, tầng phòng thủ và tầng đo lường;
- Thiết kế bộ đo: tác vụ chở, tập câu hỏi lành tính, tiêu chí thành công kiểm được bằng chương trình dựa trên canary;
- Thiết kế lược đồ lưu vết chạy, trong đó có trường phân định nguyên nhân chặn để tách phòng thủ với model tự từ chối;
- Thiết kế đặc tả kỹ thuật tấn công và cơ chế phòng thủ, kèm ma trận dự đoán kỹ thuật × phòng thủ ghi trước thực nghiệm;
- Thiết kế cơ sở dữ liệu mô phỏng và giao diện dashboard.
</t>
  </si>
  <si>
    <t>- Xây dựng lõi agent RAG + MCP với các điểm móc để cắm cơ chế phòng thủ; dựng MCP server phơi năm công cụ;
- Xây dựng hệ sinh canary, canary listener và kho lưu vết chạy;
- Xây dựng bộ chấm điểm tất định và cổng kiểm chứng bộ chấm trước khi chạy thực nghiệm;
- Xây dựng bộ sinh payload có nguồn gốc cho hai kênh tấn công, gồm ba kỹ thuật tự đề xuất: chia mảnh payload qua nhiều tài liệu, kích hoạt trễ có điều kiện và che giấu đặc thù tiếng Việt;
- Xây dựng bộ chạy ma trận thực nghiệm có điểm dừng và chạy tiếp;
- Hiện thực bốn cơ chế phòng thủ và pipeline, toàn bộ tham số khai báo trong tệp cấu hình;
- Xây dựng pipeline tấn công thích ứng và dashboard tra cứu kết quả, xem lại vết chạy, bật tắt phòng thủ trực tiếp.</t>
  </si>
  <si>
    <t>- Chạy thử nghiệm mẫu, hiệu chỉnh độ khó của môi trường theo giao thức ghi trước và đo phương sai để quyết số lần lặp;
- Đo tỉ lệ tấn công thành công nền trên ba lớp mô hình đích, tách theo kênh, theo kỹ thuật và theo mục tiêu tấn công;
- Đo hiệu quả từng cơ chế phòng thủ và các tổ hợp, song song với cái giá về tính hữu dụng: độ chính xác, tỉ lệ từ chối sai, độ trễ, chi phí;
- Đo độ bền của phòng thủ trước kẻ tấn công đã biết trước cơ chế;
- Tổng hợp bảng đánh đổi an toàn – hữu dụng và đường Pareto; mọi tỉ lệ kèm khoảng tin cậy.</t>
  </si>
  <si>
    <t>- Cắm hệ đo vào một harness agent thương mại đang được dùng trong thực tế, chạy cùng bộ payload để đối chiếu mức độ bảo vệ sẵn có của harness với bốn cơ chế phòng thủ tự xây;
- Xây dựng kịch bản trình diễn trên hồ sơ nghiệp vụ thật của một công ty phân phối thiết bị, viết tài liệu hướng dẫn cài đặt và sử dụng, đóng gói để người khác cài lại được bằng một lệnh;
- Phân tích phản hồi và đề xuất hướng phát triển tiếp theo cho đề tài</t>
  </si>
  <si>
    <t>- Cơ chế hoạt động của AI Agent dùng RAG, MCP tool-calling và cách lỗ hổng Indirect Prompt Injection được khai thác.
- Mô hình đe dọa cho Agent.
- Phân loại kênh nội dung không tin cậy.
- Một số kỹ thuật tấn công và nguyên lý phòng thủ
- Phương pháp đánh giá định lượng.</t>
  </si>
  <si>
    <t>- Một testbed agent doanh nghiệp tiếng Việt có kiểm soát: lõi agent RAG + MCP, năm công cụ, kho tri thức 40 tài liệu và cơ sở dữ liệu khách hàng mô phỏng;
- Bộ đo tiêm nhiễm gián tiếp lặp lại được: tập tác vụ chở, tập câu hỏi lành tính, bộ sinh payload theo các kỹ thuật tấn công và bộ chấm điểm tất định dựa trên canary;
- Chế phòng thủ cắm được vào Agent pipeline, mọi tham số khai báo trong tệp cấu hình;
- Dashboard tra cứu kết quả và xem lại vết chạy, có công tắc bật/tắt phòng thủ để trình diễn trực tiếp;
- Bộ báo cáo kết quả: bảng chỉ số an toàn – hữu dụng theo từng cấu hình phòng thủ.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</si>
</sst>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6"/>
      <color theme="1"/>
      <name val="Calibri"/>
      <family val="2"/>
      <scheme val="minor"/>
    </font>
    <font>
      <b/>
      <sz val="11"/>
      <color theme="1"/>
      <name val="Arial"/>
      <family val="2"/>
    </font>
    <font>
      <sz val="11"/>
      <color theme="1"/>
      <name val="Arial"/>
      <family val="2"/>
    </font>
    <font>
      <i/>
      <sz val="11"/>
      <color theme="1"/>
      <name val="Arial"/>
      <family val="2"/>
    </font>
    <font>
      <sz val="11"/>
      <color theme="1"/>
      <name val="Times New Roman"/>
      <family val="1"/>
    </font>
    <font>
      <sz val="11"/>
      <name val="Arial"/>
      <family val="2"/>
    </font>
  </fonts>
  <fills count="4">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s>
  <borders count="1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medium">
        <color indexed="64"/>
      </right>
      <top/>
      <bottom/>
      <diagonal/>
    </border>
    <border>
      <left style="medium">
        <color indexed="64"/>
      </left>
      <right/>
      <top/>
      <bottom/>
      <diagonal/>
    </border>
  </borders>
  <cellStyleXfs count="1">
    <xf numFmtId="0" fontId="0" fillId="0" borderId="0"/>
  </cellStyleXfs>
  <cellXfs count="55">
    <xf numFmtId="0" fontId="0" fillId="0" borderId="0" xfId="0"/>
    <xf numFmtId="0" fontId="0" fillId="0" borderId="0" xfId="0" applyAlignment="1">
      <alignment horizontal="center"/>
    </xf>
    <xf numFmtId="0" fontId="1" fillId="0" borderId="0" xfId="0" applyFont="1"/>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2" fillId="0" borderId="0" xfId="0"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3" fillId="3" borderId="0" xfId="0" applyFont="1" applyFill="1" applyAlignment="1" applyProtection="1">
      <alignment horizontal="center" vertical="center"/>
      <protection locked="0"/>
    </xf>
    <xf numFmtId="0" fontId="1" fillId="0" borderId="0" xfId="0" applyFont="1" applyAlignment="1">
      <alignment horizontal="center"/>
    </xf>
    <xf numFmtId="0" fontId="4" fillId="0" borderId="0" xfId="0" applyFont="1" applyAlignment="1">
      <alignment horizont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2" fillId="0" borderId="0" xfId="0" applyFont="1" applyAlignment="1" applyProtection="1">
      <alignment horizontal="centerContinuous"/>
      <protection locked="0"/>
    </xf>
    <xf numFmtId="0" fontId="2" fillId="0" borderId="0" xfId="0" applyFont="1" applyAlignment="1">
      <alignment horizontal="centerContinuous" vertical="center"/>
    </xf>
    <xf numFmtId="0" fontId="4" fillId="0" borderId="0" xfId="0" applyFont="1" applyAlignment="1">
      <alignment horizontal="centerContinuous"/>
    </xf>
    <xf numFmtId="0" fontId="4" fillId="0" borderId="0" xfId="0" applyFont="1" applyAlignment="1" applyProtection="1">
      <alignment horizontal="center"/>
      <protection locked="0"/>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pplyProtection="1">
      <alignment horizontal="center" vertical="center"/>
      <protection locked="0"/>
    </xf>
    <xf numFmtId="0" fontId="2" fillId="0" borderId="0" xfId="0" applyFont="1" applyAlignment="1">
      <alignment horizontal="left" vertical="center" wrapText="1"/>
    </xf>
    <xf numFmtId="0" fontId="2" fillId="0" borderId="0" xfId="0" applyFont="1" applyAlignment="1">
      <alignment horizontal="left" vertical="center"/>
    </xf>
    <xf numFmtId="49" fontId="4" fillId="3" borderId="0" xfId="0" quotePrefix="1" applyNumberFormat="1" applyFont="1" applyFill="1" applyAlignment="1" applyProtection="1">
      <alignment horizontal="left" vertical="top" wrapText="1"/>
      <protection locked="0"/>
    </xf>
    <xf numFmtId="49" fontId="4" fillId="3" borderId="0" xfId="0" quotePrefix="1" applyNumberFormat="1" applyFont="1" applyFill="1" applyAlignment="1" applyProtection="1">
      <alignment horizontal="left" vertical="top"/>
      <protection locked="0"/>
    </xf>
    <xf numFmtId="0" fontId="4" fillId="0" borderId="0" xfId="0" applyFont="1" applyAlignment="1">
      <alignment horizontal="left" vertical="center" wrapText="1"/>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3" fillId="2" borderId="0" xfId="0" applyFont="1" applyFill="1" applyAlignment="1" applyProtection="1">
      <alignment horizontal="left"/>
      <protection locked="0"/>
    </xf>
    <xf numFmtId="0" fontId="3"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12" xfId="0" applyFont="1" applyFill="1" applyBorder="1" applyAlignment="1" applyProtection="1">
      <alignment horizontal="left" vertical="center"/>
      <protection locked="0"/>
    </xf>
    <xf numFmtId="0" fontId="3" fillId="3" borderId="12" xfId="0" applyFont="1" applyFill="1" applyBorder="1" applyAlignment="1" applyProtection="1">
      <alignment horizontal="left" vertical="center"/>
      <protection locked="0"/>
    </xf>
    <xf numFmtId="14" fontId="3" fillId="3" borderId="0" xfId="0" quotePrefix="1" applyNumberFormat="1" applyFont="1" applyFill="1" applyAlignment="1" applyProtection="1">
      <alignment horizontal="center" vertical="center"/>
      <protection locked="0"/>
    </xf>
    <xf numFmtId="14" fontId="3" fillId="3" borderId="0" xfId="0" applyNumberFormat="1"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3" borderId="12" xfId="0" applyFont="1" applyFill="1" applyBorder="1" applyAlignment="1" applyProtection="1">
      <alignment horizontal="center" vertical="center"/>
      <protection locked="0"/>
    </xf>
    <xf numFmtId="0" fontId="3" fillId="3" borderId="13" xfId="0" applyFont="1" applyFill="1" applyBorder="1" applyAlignment="1" applyProtection="1">
      <alignment horizontal="center" vertical="center"/>
      <protection locked="0"/>
    </xf>
    <xf numFmtId="0" fontId="3" fillId="3" borderId="0" xfId="0" quotePrefix="1" applyFont="1" applyFill="1" applyAlignment="1" applyProtection="1">
      <alignment horizontal="left" vertical="center"/>
      <protection locked="0"/>
    </xf>
    <xf numFmtId="0" fontId="5" fillId="0" borderId="1" xfId="0" applyFont="1" applyBorder="1" applyAlignment="1">
      <alignment horizontal="center"/>
    </xf>
    <xf numFmtId="0" fontId="5" fillId="0" borderId="2" xfId="0" applyFont="1" applyBorder="1" applyAlignment="1">
      <alignment horizontal="center"/>
    </xf>
    <xf numFmtId="0" fontId="2" fillId="0" borderId="0" xfId="0" applyFont="1" applyAlignment="1">
      <alignment horizontal="center" vertical="center"/>
    </xf>
    <xf numFmtId="49" fontId="6" fillId="3" borderId="0" xfId="0" quotePrefix="1" applyNumberFormat="1" applyFont="1" applyFill="1" applyAlignment="1" applyProtection="1">
      <alignment horizontal="left" vertical="top" wrapText="1"/>
      <protection locked="0"/>
    </xf>
    <xf numFmtId="49" fontId="6" fillId="3" borderId="0" xfId="0" quotePrefix="1" applyNumberFormat="1" applyFont="1" applyFill="1" applyAlignment="1" applyProtection="1">
      <alignment horizontal="left" vertical="top"/>
      <protection locked="0"/>
    </xf>
  </cellXfs>
  <cellStyles count="1">
    <cellStyle name="Normal" xfId="0" builtinId="0"/>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E5D2D-4EE0-AF43-A1DA-EAEECD25B832}" name="Table1" displayName="Table1" ref="A4:B24" totalsRowShown="0" headerRowDxfId="20" headerRowBorderDxfId="19" tableBorderDxfId="18" totalsRowBorderDxfId="17">
  <autoFilter ref="A4:B24" xr:uid="{F35E5D2D-4EE0-AF43-A1DA-EAEECD25B832}"/>
  <tableColumns count="2">
    <tableColumn id="1" xr3:uid="{8F94715B-E4B9-AF4B-88AA-56DC574994A1}" name="STT" dataDxfId="16"/>
    <tableColumn id="2" xr3:uid="{3F1B16B6-C840-9541-9CA2-60159202EBE9}" name="Danh sách phân ban"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A41C4-6E08-4046-B053-611BCC4DFFCA}" name="Table2" displayName="Table2" ref="E4:E24" totalsRowShown="0" headerRowDxfId="14" dataDxfId="12" headerRowBorderDxfId="13" tableBorderDxfId="11" totalsRowBorderDxfId="10">
  <autoFilter ref="E4:E24" xr:uid="{512A41C4-6E08-4046-B053-611BCC4DFFCA}"/>
  <tableColumns count="1">
    <tableColumn id="1" xr3:uid="{21FAF650-327C-6941-9504-B63B591685DF}" name="Tuầ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64D22-4E76-E84A-B4D1-9049BE5485BB}" name="Table5" displayName="Table5" ref="G4:H24" totalsRowShown="0" headerRowDxfId="8" headerRowBorderDxfId="7" tableBorderDxfId="6" totalsRowBorderDxfId="5">
  <autoFilter ref="G4:H24" xr:uid="{48264D22-4E76-E84A-B4D1-9049BE5485BB}"/>
  <tableColumns count="2">
    <tableColumn id="1" xr3:uid="{71B94112-F048-4244-B830-67FA92AC3832}" name="STT" dataDxfId="4"/>
    <tableColumn id="2" xr3:uid="{4EA305C8-770B-D74C-A83C-14ACBE242B89}" name="List of field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03145-6112-7E40-8B3F-B1DACC1908F8}" name="Table6" displayName="Table6" ref="J4:J24" totalsRowShown="0" headerRowDxfId="2" dataDxfId="1">
  <autoFilter ref="J4:J24" xr:uid="{45103145-6112-7E40-8B3F-B1DACC1908F8}"/>
  <tableColumns count="1">
    <tableColumn id="1" xr3:uid="{30535105-FF9B-2943-9BAB-56CAA1866448}" name="Week"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F0-5233-824C-83AF-C9E234A215E4}">
  <sheetPr>
    <pageSetUpPr fitToPage="1"/>
  </sheetPr>
  <dimension ref="A1:K98"/>
  <sheetViews>
    <sheetView tabSelected="1" showWhiteSpace="0" topLeftCell="A48" zoomScale="178" zoomScaleNormal="178" zoomScalePageLayoutView="144" workbookViewId="0">
      <selection activeCell="A36" sqref="A36:K38"/>
    </sheetView>
  </sheetViews>
  <sheetFormatPr baseColWidth="10" defaultColWidth="10.83203125" defaultRowHeight="14" x14ac:dyDescent="0.15"/>
  <cols>
    <col min="1" max="1" width="6.1640625" style="3" customWidth="1"/>
    <col min="2" max="2" width="16.6640625" style="3" customWidth="1"/>
    <col min="3" max="3" width="7.6640625" style="3" customWidth="1"/>
    <col min="4" max="4" width="4.6640625" style="3" customWidth="1"/>
    <col min="5" max="5" width="10" style="3" customWidth="1"/>
    <col min="6" max="6" width="8" style="3" customWidth="1"/>
    <col min="7" max="7" width="9.5" style="3" customWidth="1"/>
    <col min="8" max="8" width="9.1640625" style="3" customWidth="1"/>
    <col min="9" max="9" width="9.33203125" style="3" customWidth="1"/>
    <col min="10" max="10" width="9.5" style="3" customWidth="1"/>
    <col min="11" max="11" width="10.6640625" style="3" customWidth="1"/>
    <col min="12" max="16384" width="10.83203125" style="3"/>
  </cols>
  <sheetData>
    <row r="1" spans="1:11" ht="15.75" customHeight="1" x14ac:dyDescent="0.15">
      <c r="J1" s="50" t="s">
        <v>91</v>
      </c>
      <c r="K1" s="51"/>
    </row>
    <row r="2" spans="1:11" x14ac:dyDescent="0.15">
      <c r="A2" s="52" t="s">
        <v>0</v>
      </c>
      <c r="B2" s="52"/>
      <c r="C2" s="52"/>
      <c r="D2" s="52"/>
      <c r="E2" s="52"/>
      <c r="F2" s="52"/>
      <c r="G2" s="52"/>
      <c r="H2" s="52"/>
      <c r="I2" s="52"/>
      <c r="J2" s="52"/>
      <c r="K2" s="52"/>
    </row>
    <row r="3" spans="1:11" x14ac:dyDescent="0.15">
      <c r="A3" s="52" t="s">
        <v>1</v>
      </c>
      <c r="B3" s="52"/>
      <c r="C3" s="52"/>
      <c r="D3" s="52"/>
      <c r="E3" s="52"/>
      <c r="F3" s="52"/>
      <c r="G3" s="52"/>
      <c r="H3" s="52"/>
      <c r="I3" s="52"/>
      <c r="J3" s="52"/>
      <c r="K3" s="52"/>
    </row>
    <row r="5" spans="1:11" x14ac:dyDescent="0.15">
      <c r="A5" s="52" t="s">
        <v>2</v>
      </c>
      <c r="B5" s="52"/>
      <c r="C5" s="52"/>
      <c r="D5" s="52"/>
      <c r="E5" s="52"/>
      <c r="F5" s="52"/>
      <c r="G5" s="52"/>
      <c r="H5" s="52"/>
      <c r="I5" s="52"/>
      <c r="J5" s="52"/>
      <c r="K5" s="52"/>
    </row>
    <row r="6" spans="1:11" x14ac:dyDescent="0.15">
      <c r="A6" s="11"/>
      <c r="B6" s="12"/>
      <c r="C6" s="12"/>
      <c r="D6" s="12"/>
      <c r="E6" s="10" t="s">
        <v>3</v>
      </c>
      <c r="F6" s="13" t="s">
        <v>102</v>
      </c>
      <c r="G6" s="12"/>
      <c r="H6" s="11"/>
      <c r="I6" s="11"/>
      <c r="J6" s="11"/>
    </row>
    <row r="7" spans="1:11" x14ac:dyDescent="0.15">
      <c r="A7" s="11"/>
      <c r="B7" s="11"/>
      <c r="C7" s="11"/>
      <c r="D7" s="11"/>
      <c r="E7" s="11"/>
      <c r="F7" s="11"/>
      <c r="G7" s="11"/>
      <c r="H7" s="11"/>
      <c r="I7" s="11"/>
      <c r="J7" s="11"/>
      <c r="K7" s="11"/>
    </row>
    <row r="8" spans="1:11" x14ac:dyDescent="0.15">
      <c r="A8" s="12" t="s">
        <v>4</v>
      </c>
      <c r="B8" s="11"/>
      <c r="C8" s="11"/>
      <c r="D8" s="11"/>
      <c r="E8" s="11"/>
      <c r="F8" s="11"/>
      <c r="G8" s="11"/>
      <c r="H8" s="11"/>
      <c r="I8" s="11"/>
      <c r="J8" s="11"/>
      <c r="K8" s="11"/>
    </row>
    <row r="9" spans="1:11" x14ac:dyDescent="0.15">
      <c r="A9" s="11" t="s">
        <v>5</v>
      </c>
      <c r="B9" s="11"/>
      <c r="C9" s="41" t="s">
        <v>103</v>
      </c>
      <c r="D9" s="41"/>
      <c r="E9" s="41"/>
      <c r="F9" s="41"/>
      <c r="G9" s="41"/>
      <c r="H9" s="11" t="s">
        <v>6</v>
      </c>
      <c r="I9" s="40" t="s">
        <v>106</v>
      </c>
      <c r="J9" s="40"/>
      <c r="K9" s="43"/>
    </row>
    <row r="10" spans="1:11" x14ac:dyDescent="0.15">
      <c r="A10" s="11" t="s">
        <v>7</v>
      </c>
      <c r="B10" s="11"/>
      <c r="C10" s="49" t="s">
        <v>105</v>
      </c>
      <c r="D10" s="40"/>
      <c r="E10" s="40"/>
      <c r="F10" s="40"/>
      <c r="G10" s="40"/>
      <c r="H10" s="11" t="s">
        <v>8</v>
      </c>
      <c r="I10" s="40" t="s">
        <v>107</v>
      </c>
      <c r="J10" s="40"/>
      <c r="K10" s="43"/>
    </row>
    <row r="11" spans="1:11" x14ac:dyDescent="0.15">
      <c r="A11" s="11" t="s">
        <v>9</v>
      </c>
      <c r="B11" s="11"/>
      <c r="C11" s="40" t="s">
        <v>104</v>
      </c>
      <c r="D11" s="40"/>
      <c r="E11" s="40"/>
      <c r="F11" s="40"/>
      <c r="G11" s="40"/>
      <c r="H11" s="11" t="s">
        <v>10</v>
      </c>
      <c r="I11" s="40"/>
      <c r="J11" s="40"/>
      <c r="K11" s="40"/>
    </row>
    <row r="12" spans="1:11" x14ac:dyDescent="0.15">
      <c r="A12" s="12" t="s">
        <v>11</v>
      </c>
      <c r="B12" s="11"/>
      <c r="C12" s="11"/>
      <c r="D12" s="11"/>
      <c r="E12" s="11"/>
      <c r="F12" s="11"/>
      <c r="G12" s="11"/>
      <c r="H12" s="11"/>
      <c r="I12" s="11"/>
      <c r="J12" s="11"/>
      <c r="K12" s="11"/>
    </row>
    <row r="13" spans="1:11" x14ac:dyDescent="0.15">
      <c r="A13" s="11" t="s">
        <v>12</v>
      </c>
      <c r="B13" s="11"/>
      <c r="C13" s="41" t="s">
        <v>108</v>
      </c>
      <c r="D13" s="41"/>
      <c r="E13" s="41"/>
      <c r="F13" s="41"/>
      <c r="G13" s="41"/>
      <c r="H13" s="41"/>
      <c r="I13" s="41"/>
      <c r="J13" s="41"/>
      <c r="K13" s="42"/>
    </row>
    <row r="14" spans="1:11" x14ac:dyDescent="0.15">
      <c r="A14" s="11" t="s">
        <v>13</v>
      </c>
      <c r="B14" s="11"/>
      <c r="C14" s="40" t="s">
        <v>49</v>
      </c>
      <c r="D14" s="40"/>
      <c r="E14" s="40"/>
      <c r="F14" s="40"/>
      <c r="G14" s="40"/>
      <c r="H14" s="40"/>
      <c r="I14" s="40"/>
      <c r="J14" s="40"/>
      <c r="K14" s="43"/>
    </row>
    <row r="15" spans="1:11" ht="15.75" customHeight="1" x14ac:dyDescent="0.15">
      <c r="A15" s="11" t="s">
        <v>14</v>
      </c>
      <c r="B15" s="11"/>
      <c r="C15" s="11" t="s">
        <v>15</v>
      </c>
      <c r="D15" s="44" t="s">
        <v>109</v>
      </c>
      <c r="E15" s="45"/>
      <c r="F15" s="45"/>
      <c r="G15" s="45"/>
      <c r="H15" s="7" t="s">
        <v>16</v>
      </c>
      <c r="I15" s="44" t="s">
        <v>110</v>
      </c>
      <c r="J15" s="46"/>
      <c r="K15" s="47"/>
    </row>
    <row r="16" spans="1:11" x14ac:dyDescent="0.15">
      <c r="A16" s="12" t="s">
        <v>17</v>
      </c>
      <c r="B16" s="11"/>
      <c r="C16" s="11"/>
      <c r="D16" s="11"/>
      <c r="E16" s="11"/>
      <c r="F16" s="11"/>
      <c r="G16" s="11"/>
      <c r="H16" s="11"/>
      <c r="I16" s="11"/>
      <c r="J16" s="11"/>
      <c r="K16" s="11"/>
    </row>
    <row r="17" spans="1:11" ht="36" customHeight="1" x14ac:dyDescent="0.15">
      <c r="A17" s="48" t="s">
        <v>111</v>
      </c>
      <c r="B17" s="46"/>
      <c r="C17" s="46"/>
      <c r="D17" s="46"/>
      <c r="E17" s="46"/>
      <c r="F17" s="46"/>
      <c r="G17" s="46"/>
      <c r="H17" s="46"/>
      <c r="I17" s="46"/>
      <c r="J17" s="46"/>
      <c r="K17" s="47"/>
    </row>
    <row r="18" spans="1:11" x14ac:dyDescent="0.15">
      <c r="A18" s="4" t="s">
        <v>18</v>
      </c>
    </row>
    <row r="19" spans="1:11" x14ac:dyDescent="0.15">
      <c r="A19" s="5" t="s">
        <v>19</v>
      </c>
      <c r="B19" s="3" t="s">
        <v>20</v>
      </c>
      <c r="C19" s="39" t="s">
        <v>61</v>
      </c>
      <c r="D19" s="39"/>
      <c r="E19" s="39"/>
      <c r="F19" s="39"/>
      <c r="G19" s="39"/>
      <c r="H19" s="39"/>
      <c r="I19" s="39"/>
      <c r="J19" s="39"/>
      <c r="K19" s="39"/>
    </row>
    <row r="20" spans="1:11" x14ac:dyDescent="0.15">
      <c r="A20" s="5" t="s">
        <v>19</v>
      </c>
      <c r="B20" s="3" t="s">
        <v>21</v>
      </c>
      <c r="C20" s="39" t="s">
        <v>54</v>
      </c>
      <c r="D20" s="39"/>
      <c r="E20" s="39"/>
      <c r="F20" s="39"/>
      <c r="G20" s="39"/>
      <c r="H20" s="39"/>
      <c r="I20" s="39"/>
      <c r="J20" s="39"/>
      <c r="K20" s="39"/>
    </row>
    <row r="21" spans="1:11" x14ac:dyDescent="0.15">
      <c r="A21" s="5" t="s">
        <v>19</v>
      </c>
      <c r="B21" s="3" t="s">
        <v>22</v>
      </c>
      <c r="C21" s="39" t="s">
        <v>50</v>
      </c>
      <c r="D21" s="39"/>
      <c r="E21" s="39"/>
      <c r="F21" s="39"/>
      <c r="G21" s="39"/>
      <c r="H21" s="39"/>
      <c r="I21" s="39"/>
      <c r="J21" s="39"/>
      <c r="K21" s="39"/>
    </row>
    <row r="22" spans="1:11" x14ac:dyDescent="0.15">
      <c r="A22" s="5" t="s">
        <v>19</v>
      </c>
      <c r="B22" s="3" t="s">
        <v>23</v>
      </c>
    </row>
    <row r="23" spans="1:11" ht="16.5" customHeight="1" x14ac:dyDescent="0.15">
      <c r="A23" s="37"/>
      <c r="B23" s="38"/>
      <c r="C23" s="38"/>
      <c r="D23" s="38"/>
      <c r="E23" s="38"/>
      <c r="F23" s="38"/>
      <c r="G23" s="38"/>
      <c r="H23" s="38"/>
      <c r="I23" s="38"/>
      <c r="J23" s="38"/>
      <c r="K23" s="38"/>
    </row>
    <row r="24" spans="1:11" x14ac:dyDescent="0.15">
      <c r="A24" s="6" t="s">
        <v>24</v>
      </c>
    </row>
    <row r="25" spans="1:11" x14ac:dyDescent="0.15">
      <c r="A25" s="3" t="s">
        <v>25</v>
      </c>
    </row>
    <row r="26" spans="1:11" ht="24" customHeight="1" x14ac:dyDescent="0.15">
      <c r="A26" s="34" t="s">
        <v>121</v>
      </c>
      <c r="B26" s="35"/>
      <c r="C26" s="35"/>
      <c r="D26" s="35"/>
      <c r="E26" s="35"/>
      <c r="F26" s="35"/>
      <c r="G26" s="35"/>
      <c r="H26" s="35"/>
      <c r="I26" s="35"/>
      <c r="J26" s="35"/>
      <c r="K26" s="35"/>
    </row>
    <row r="27" spans="1:11" ht="35" customHeight="1" x14ac:dyDescent="0.15">
      <c r="A27" s="35"/>
      <c r="B27" s="35"/>
      <c r="C27" s="35"/>
      <c r="D27" s="35"/>
      <c r="E27" s="35"/>
      <c r="F27" s="35"/>
      <c r="G27" s="35"/>
      <c r="H27" s="35"/>
      <c r="I27" s="35"/>
      <c r="J27" s="35"/>
      <c r="K27" s="35"/>
    </row>
    <row r="28" spans="1:11" x14ac:dyDescent="0.15">
      <c r="A28" s="35"/>
      <c r="B28" s="35"/>
      <c r="C28" s="35"/>
      <c r="D28" s="35"/>
      <c r="E28" s="35"/>
      <c r="F28" s="35"/>
      <c r="G28" s="35"/>
      <c r="H28" s="35"/>
      <c r="I28" s="35"/>
      <c r="J28" s="35"/>
      <c r="K28" s="35"/>
    </row>
    <row r="29" spans="1:11" x14ac:dyDescent="0.15">
      <c r="A29" s="3" t="s">
        <v>26</v>
      </c>
    </row>
    <row r="30" spans="1:11" ht="34" customHeight="1" x14ac:dyDescent="0.15">
      <c r="A30" s="34" t="s">
        <v>112</v>
      </c>
      <c r="B30" s="35"/>
      <c r="C30" s="35"/>
      <c r="D30" s="35"/>
      <c r="E30" s="35"/>
      <c r="F30" s="35"/>
      <c r="G30" s="35"/>
      <c r="H30" s="35"/>
      <c r="I30" s="35"/>
      <c r="J30" s="35"/>
      <c r="K30" s="35"/>
    </row>
    <row r="31" spans="1:11" x14ac:dyDescent="0.15">
      <c r="A31" s="35" t="s">
        <v>19</v>
      </c>
      <c r="B31" s="35"/>
      <c r="C31" s="35"/>
      <c r="D31" s="35"/>
      <c r="E31" s="35"/>
      <c r="F31" s="35"/>
      <c r="G31" s="35"/>
      <c r="H31" s="35"/>
      <c r="I31" s="35"/>
      <c r="J31" s="35"/>
      <c r="K31" s="35"/>
    </row>
    <row r="32" spans="1:11" ht="24" customHeight="1" x14ac:dyDescent="0.15">
      <c r="A32" s="35" t="s">
        <v>19</v>
      </c>
      <c r="B32" s="35"/>
      <c r="C32" s="35"/>
      <c r="D32" s="35"/>
      <c r="E32" s="35"/>
      <c r="F32" s="35"/>
      <c r="G32" s="35"/>
      <c r="H32" s="35"/>
      <c r="I32" s="35"/>
      <c r="J32" s="35"/>
      <c r="K32" s="35"/>
    </row>
    <row r="33" spans="1:11" x14ac:dyDescent="0.15">
      <c r="A33" s="3" t="s">
        <v>27</v>
      </c>
    </row>
    <row r="34" spans="1:11" ht="90" customHeight="1" x14ac:dyDescent="0.15">
      <c r="A34" s="34" t="s">
        <v>113</v>
      </c>
      <c r="B34" s="35"/>
      <c r="C34" s="35"/>
      <c r="D34" s="35"/>
      <c r="E34" s="35"/>
      <c r="F34" s="35"/>
      <c r="G34" s="35"/>
      <c r="H34" s="35"/>
      <c r="I34" s="35"/>
      <c r="J34" s="35"/>
      <c r="K34" s="35"/>
    </row>
    <row r="35" spans="1:11" x14ac:dyDescent="0.15">
      <c r="A35" s="3" t="s">
        <v>28</v>
      </c>
    </row>
    <row r="36" spans="1:11" ht="30" customHeight="1" x14ac:dyDescent="0.15">
      <c r="A36" s="53" t="s">
        <v>122</v>
      </c>
      <c r="B36" s="54"/>
      <c r="C36" s="54"/>
      <c r="D36" s="54"/>
      <c r="E36" s="54"/>
      <c r="F36" s="54"/>
      <c r="G36" s="54"/>
      <c r="H36" s="54"/>
      <c r="I36" s="54"/>
      <c r="J36" s="54"/>
      <c r="K36" s="54"/>
    </row>
    <row r="37" spans="1:11" x14ac:dyDescent="0.15">
      <c r="A37" s="54" t="s">
        <v>19</v>
      </c>
      <c r="B37" s="54"/>
      <c r="C37" s="54"/>
      <c r="D37" s="54"/>
      <c r="E37" s="54"/>
      <c r="F37" s="54"/>
      <c r="G37" s="54"/>
      <c r="H37" s="54"/>
      <c r="I37" s="54"/>
      <c r="J37" s="54"/>
      <c r="K37" s="54"/>
    </row>
    <row r="38" spans="1:11" ht="57" customHeight="1" x14ac:dyDescent="0.15">
      <c r="A38" s="54" t="s">
        <v>19</v>
      </c>
      <c r="B38" s="54"/>
      <c r="C38" s="54"/>
      <c r="D38" s="54"/>
      <c r="E38" s="54"/>
      <c r="F38" s="54"/>
      <c r="G38" s="54"/>
      <c r="H38" s="54"/>
      <c r="I38" s="54"/>
      <c r="J38" s="54"/>
      <c r="K38" s="54"/>
    </row>
    <row r="39" spans="1:11" x14ac:dyDescent="0.15">
      <c r="A39" s="3" t="s">
        <v>29</v>
      </c>
    </row>
    <row r="40" spans="1:11" x14ac:dyDescent="0.15">
      <c r="A40" s="29" t="s">
        <v>114</v>
      </c>
      <c r="B40" s="30"/>
      <c r="C40" s="30"/>
      <c r="D40" s="30"/>
      <c r="E40" s="30"/>
      <c r="F40" s="30"/>
      <c r="G40" s="30"/>
      <c r="H40" s="30"/>
      <c r="I40" s="30"/>
      <c r="J40" s="30"/>
      <c r="K40" s="30"/>
    </row>
    <row r="41" spans="1:11" ht="42" customHeight="1" x14ac:dyDescent="0.15">
      <c r="A41" s="30" t="s">
        <v>19</v>
      </c>
      <c r="B41" s="30"/>
      <c r="C41" s="30"/>
      <c r="D41" s="30"/>
      <c r="E41" s="30"/>
      <c r="F41" s="30"/>
      <c r="G41" s="30"/>
      <c r="H41" s="30"/>
      <c r="I41" s="30"/>
      <c r="J41" s="30"/>
      <c r="K41" s="30"/>
    </row>
    <row r="42" spans="1:11" ht="35" customHeight="1" x14ac:dyDescent="0.15">
      <c r="A42" s="30" t="s">
        <v>19</v>
      </c>
      <c r="B42" s="30"/>
      <c r="C42" s="30"/>
      <c r="D42" s="30"/>
      <c r="E42" s="30"/>
      <c r="F42" s="30"/>
      <c r="G42" s="30"/>
      <c r="H42" s="30"/>
      <c r="I42" s="30"/>
      <c r="J42" s="30"/>
      <c r="K42" s="30"/>
    </row>
    <row r="43" spans="1:11" x14ac:dyDescent="0.15">
      <c r="A43" s="4" t="s">
        <v>30</v>
      </c>
    </row>
    <row r="44" spans="1:11" x14ac:dyDescent="0.15">
      <c r="A44" s="36" t="s">
        <v>31</v>
      </c>
      <c r="B44" s="36"/>
      <c r="C44" s="36"/>
      <c r="D44" s="36"/>
      <c r="E44" s="36"/>
      <c r="F44" s="36"/>
      <c r="G44" s="36"/>
      <c r="H44" s="36"/>
      <c r="I44" s="36"/>
      <c r="J44" s="36"/>
      <c r="K44" s="36"/>
    </row>
    <row r="45" spans="1:11" x14ac:dyDescent="0.15">
      <c r="A45" s="4" t="s">
        <v>32</v>
      </c>
      <c r="G45" s="3" t="s">
        <v>33</v>
      </c>
      <c r="H45" s="8">
        <v>1</v>
      </c>
      <c r="I45" s="3" t="s">
        <v>34</v>
      </c>
      <c r="J45" s="8">
        <v>3</v>
      </c>
    </row>
    <row r="46" spans="1:11" x14ac:dyDescent="0.15">
      <c r="A46" s="3" t="s">
        <v>35</v>
      </c>
    </row>
    <row r="47" spans="1:11" x14ac:dyDescent="0.15">
      <c r="A47" s="29" t="s">
        <v>115</v>
      </c>
      <c r="B47" s="30" t="s">
        <v>36</v>
      </c>
      <c r="C47" s="30"/>
      <c r="D47" s="30"/>
      <c r="E47" s="30"/>
      <c r="F47" s="30"/>
      <c r="G47" s="30"/>
      <c r="H47" s="30"/>
      <c r="I47" s="30"/>
      <c r="J47" s="30"/>
      <c r="K47" s="30"/>
    </row>
    <row r="48" spans="1:11" x14ac:dyDescent="0.15">
      <c r="A48" s="30" t="s">
        <v>19</v>
      </c>
      <c r="B48" s="30"/>
      <c r="C48" s="30"/>
      <c r="D48" s="30"/>
      <c r="E48" s="30"/>
      <c r="F48" s="30"/>
      <c r="G48" s="30"/>
      <c r="H48" s="30"/>
      <c r="I48" s="30"/>
      <c r="J48" s="30"/>
      <c r="K48" s="30"/>
    </row>
    <row r="49" spans="1:11" ht="30" customHeight="1" x14ac:dyDescent="0.15">
      <c r="A49" s="30" t="s">
        <v>19</v>
      </c>
      <c r="B49" s="30"/>
      <c r="C49" s="30"/>
      <c r="D49" s="30"/>
      <c r="E49" s="30"/>
      <c r="F49" s="30"/>
      <c r="G49" s="30"/>
      <c r="H49" s="30"/>
      <c r="I49" s="30"/>
      <c r="J49" s="30"/>
      <c r="K49" s="30"/>
    </row>
    <row r="50" spans="1:11" x14ac:dyDescent="0.15">
      <c r="A50" s="4" t="s">
        <v>37</v>
      </c>
      <c r="G50" s="3" t="s">
        <v>33</v>
      </c>
      <c r="H50" s="8">
        <v>4</v>
      </c>
      <c r="I50" s="3" t="s">
        <v>34</v>
      </c>
      <c r="J50" s="8">
        <v>5</v>
      </c>
    </row>
    <row r="51" spans="1:11" x14ac:dyDescent="0.15">
      <c r="A51" s="3" t="s">
        <v>35</v>
      </c>
    </row>
    <row r="52" spans="1:11" ht="33" customHeight="1" x14ac:dyDescent="0.15">
      <c r="A52" s="29" t="s">
        <v>116</v>
      </c>
      <c r="B52" s="30"/>
      <c r="C52" s="30"/>
      <c r="D52" s="30"/>
      <c r="E52" s="30"/>
      <c r="F52" s="30"/>
      <c r="G52" s="30"/>
      <c r="H52" s="30"/>
      <c r="I52" s="30"/>
      <c r="J52" s="30"/>
      <c r="K52" s="30"/>
    </row>
    <row r="53" spans="1:11" x14ac:dyDescent="0.15">
      <c r="A53" s="30" t="s">
        <v>19</v>
      </c>
      <c r="B53" s="30"/>
      <c r="C53" s="30"/>
      <c r="D53" s="30"/>
      <c r="E53" s="30"/>
      <c r="F53" s="30"/>
      <c r="G53" s="30"/>
      <c r="H53" s="30"/>
      <c r="I53" s="30"/>
      <c r="J53" s="30"/>
      <c r="K53" s="30"/>
    </row>
    <row r="54" spans="1:11" x14ac:dyDescent="0.15">
      <c r="A54" s="30" t="s">
        <v>19</v>
      </c>
      <c r="B54" s="30"/>
      <c r="C54" s="30"/>
      <c r="D54" s="30"/>
      <c r="E54" s="30"/>
      <c r="F54" s="30"/>
      <c r="G54" s="30"/>
      <c r="H54" s="30"/>
      <c r="I54" s="30"/>
      <c r="J54" s="30"/>
      <c r="K54" s="30"/>
    </row>
    <row r="55" spans="1:11" x14ac:dyDescent="0.15">
      <c r="A55" s="4" t="s">
        <v>38</v>
      </c>
      <c r="G55" s="3" t="s">
        <v>33</v>
      </c>
      <c r="H55" s="8">
        <v>6</v>
      </c>
      <c r="I55" s="3" t="s">
        <v>34</v>
      </c>
      <c r="J55" s="8">
        <v>8</v>
      </c>
    </row>
    <row r="56" spans="1:11" x14ac:dyDescent="0.15">
      <c r="A56" s="3" t="s">
        <v>35</v>
      </c>
    </row>
    <row r="57" spans="1:11" x14ac:dyDescent="0.15">
      <c r="A57" s="29" t="s">
        <v>117</v>
      </c>
      <c r="B57" s="30"/>
      <c r="C57" s="30"/>
      <c r="D57" s="30"/>
      <c r="E57" s="30"/>
      <c r="F57" s="30"/>
      <c r="G57" s="30"/>
      <c r="H57" s="30"/>
      <c r="I57" s="30"/>
      <c r="J57" s="30"/>
      <c r="K57" s="30"/>
    </row>
    <row r="58" spans="1:11" ht="56" customHeight="1" x14ac:dyDescent="0.15">
      <c r="A58" s="30"/>
      <c r="B58" s="30"/>
      <c r="C58" s="30"/>
      <c r="D58" s="30"/>
      <c r="E58" s="30"/>
      <c r="F58" s="30"/>
      <c r="G58" s="30"/>
      <c r="H58" s="30"/>
      <c r="I58" s="30"/>
      <c r="J58" s="30"/>
      <c r="K58" s="30"/>
    </row>
    <row r="59" spans="1:11" x14ac:dyDescent="0.15">
      <c r="A59" s="30"/>
      <c r="B59" s="30"/>
      <c r="C59" s="30"/>
      <c r="D59" s="30"/>
      <c r="E59" s="30"/>
      <c r="F59" s="30"/>
      <c r="G59" s="30"/>
      <c r="H59" s="30"/>
      <c r="I59" s="30"/>
      <c r="J59" s="30"/>
      <c r="K59" s="30"/>
    </row>
    <row r="60" spans="1:11" x14ac:dyDescent="0.15">
      <c r="A60" s="4" t="s">
        <v>39</v>
      </c>
      <c r="G60" s="3" t="s">
        <v>33</v>
      </c>
      <c r="H60" s="8">
        <v>9</v>
      </c>
      <c r="I60" s="3" t="s">
        <v>34</v>
      </c>
      <c r="J60" s="8">
        <v>12</v>
      </c>
    </row>
    <row r="61" spans="1:11" x14ac:dyDescent="0.15">
      <c r="A61" s="3" t="s">
        <v>35</v>
      </c>
    </row>
    <row r="62" spans="1:11" ht="51" customHeight="1" x14ac:dyDescent="0.15">
      <c r="A62" s="29" t="s">
        <v>118</v>
      </c>
      <c r="B62" s="30"/>
      <c r="C62" s="30"/>
      <c r="D62" s="30"/>
      <c r="E62" s="30"/>
      <c r="F62" s="30"/>
      <c r="G62" s="30"/>
      <c r="H62" s="30"/>
      <c r="I62" s="30"/>
      <c r="J62" s="30"/>
      <c r="K62" s="30"/>
    </row>
    <row r="63" spans="1:11" ht="45" customHeight="1" x14ac:dyDescent="0.15">
      <c r="A63" s="30" t="s">
        <v>19</v>
      </c>
      <c r="B63" s="30"/>
      <c r="C63" s="30"/>
      <c r="D63" s="30"/>
      <c r="E63" s="30"/>
      <c r="F63" s="30"/>
      <c r="G63" s="30"/>
      <c r="H63" s="30"/>
      <c r="I63" s="30"/>
      <c r="J63" s="30"/>
      <c r="K63" s="30"/>
    </row>
    <row r="64" spans="1:11" ht="18" customHeight="1" x14ac:dyDescent="0.15">
      <c r="A64" s="30" t="s">
        <v>19</v>
      </c>
      <c r="B64" s="30"/>
      <c r="C64" s="30"/>
      <c r="D64" s="30"/>
      <c r="E64" s="30"/>
      <c r="F64" s="30"/>
      <c r="G64" s="30"/>
      <c r="H64" s="30"/>
      <c r="I64" s="30"/>
      <c r="J64" s="30"/>
      <c r="K64" s="30"/>
    </row>
    <row r="65" spans="1:11" x14ac:dyDescent="0.15">
      <c r="A65" s="4" t="s">
        <v>40</v>
      </c>
      <c r="G65" s="3" t="s">
        <v>33</v>
      </c>
      <c r="H65" s="8">
        <v>13</v>
      </c>
      <c r="I65" s="3" t="s">
        <v>34</v>
      </c>
      <c r="J65" s="8">
        <v>15</v>
      </c>
    </row>
    <row r="66" spans="1:11" x14ac:dyDescent="0.15">
      <c r="A66" s="3" t="s">
        <v>35</v>
      </c>
    </row>
    <row r="67" spans="1:11" ht="31" customHeight="1" x14ac:dyDescent="0.15">
      <c r="A67" s="29" t="s">
        <v>119</v>
      </c>
      <c r="B67" s="30"/>
      <c r="C67" s="30"/>
      <c r="D67" s="30"/>
      <c r="E67" s="30"/>
      <c r="F67" s="30"/>
      <c r="G67" s="30"/>
      <c r="H67" s="30"/>
      <c r="I67" s="30"/>
      <c r="J67" s="30"/>
      <c r="K67" s="30"/>
    </row>
    <row r="68" spans="1:11" ht="39" customHeight="1" x14ac:dyDescent="0.15">
      <c r="A68" s="30"/>
      <c r="B68" s="30"/>
      <c r="C68" s="30"/>
      <c r="D68" s="30"/>
      <c r="E68" s="30"/>
      <c r="F68" s="30"/>
      <c r="G68" s="30"/>
      <c r="H68" s="30"/>
      <c r="I68" s="30"/>
      <c r="J68" s="30"/>
      <c r="K68" s="30"/>
    </row>
    <row r="69" spans="1:11" ht="31" customHeight="1" x14ac:dyDescent="0.15">
      <c r="A69" s="30"/>
      <c r="B69" s="30"/>
      <c r="C69" s="30"/>
      <c r="D69" s="30"/>
      <c r="E69" s="30"/>
      <c r="F69" s="30"/>
      <c r="G69" s="30"/>
      <c r="H69" s="30"/>
      <c r="I69" s="30"/>
      <c r="J69" s="30"/>
      <c r="K69" s="30"/>
    </row>
    <row r="70" spans="1:11" ht="32" customHeight="1" x14ac:dyDescent="0.15">
      <c r="A70" s="32" t="s">
        <v>41</v>
      </c>
      <c r="B70" s="33"/>
      <c r="C70" s="33"/>
      <c r="D70" s="33"/>
      <c r="E70" s="33"/>
      <c r="G70" s="11" t="s">
        <v>33</v>
      </c>
      <c r="H70" s="8">
        <v>16</v>
      </c>
      <c r="I70" s="11" t="s">
        <v>34</v>
      </c>
      <c r="J70" s="8">
        <v>17</v>
      </c>
    </row>
    <row r="71" spans="1:11" x14ac:dyDescent="0.15">
      <c r="A71" s="3" t="s">
        <v>42</v>
      </c>
    </row>
    <row r="72" spans="1:11" x14ac:dyDescent="0.15">
      <c r="A72" s="29" t="s">
        <v>120</v>
      </c>
      <c r="B72" s="30"/>
      <c r="C72" s="30"/>
      <c r="D72" s="30"/>
      <c r="E72" s="30"/>
      <c r="F72" s="30"/>
      <c r="G72" s="30"/>
      <c r="H72" s="30"/>
      <c r="I72" s="30"/>
      <c r="J72" s="30"/>
      <c r="K72" s="30"/>
    </row>
    <row r="73" spans="1:11" x14ac:dyDescent="0.15">
      <c r="A73" s="29"/>
      <c r="B73" s="30"/>
      <c r="C73" s="30"/>
      <c r="D73" s="30"/>
      <c r="E73" s="30"/>
      <c r="F73" s="30"/>
      <c r="G73" s="30"/>
      <c r="H73" s="30"/>
      <c r="I73" s="30"/>
      <c r="J73" s="30"/>
      <c r="K73" s="30"/>
    </row>
    <row r="74" spans="1:11" x14ac:dyDescent="0.15">
      <c r="A74" s="29"/>
      <c r="B74" s="30"/>
      <c r="C74" s="30"/>
      <c r="D74" s="30"/>
      <c r="E74" s="30"/>
      <c r="F74" s="30"/>
      <c r="G74" s="30"/>
      <c r="H74" s="30"/>
      <c r="I74" s="30"/>
      <c r="J74" s="30"/>
      <c r="K74" s="30"/>
    </row>
    <row r="75" spans="1:11" x14ac:dyDescent="0.15">
      <c r="A75" s="30" t="s">
        <v>19</v>
      </c>
      <c r="B75" s="30"/>
      <c r="C75" s="30"/>
      <c r="D75" s="30"/>
      <c r="E75" s="30"/>
      <c r="F75" s="30"/>
      <c r="G75" s="30"/>
      <c r="H75" s="30"/>
      <c r="I75" s="30"/>
      <c r="J75" s="30"/>
      <c r="K75" s="30"/>
    </row>
    <row r="76" spans="1:11" ht="22" customHeight="1" x14ac:dyDescent="0.15">
      <c r="A76" s="30" t="s">
        <v>19</v>
      </c>
      <c r="B76" s="30"/>
      <c r="C76" s="30"/>
      <c r="D76" s="30"/>
      <c r="E76" s="30"/>
      <c r="F76" s="30"/>
      <c r="G76" s="30"/>
      <c r="H76" s="30"/>
      <c r="I76" s="30"/>
      <c r="J76" s="30"/>
      <c r="K76" s="30"/>
    </row>
    <row r="77" spans="1:11" x14ac:dyDescent="0.15">
      <c r="A77" s="4" t="s">
        <v>43</v>
      </c>
    </row>
    <row r="78" spans="1:11" x14ac:dyDescent="0.15">
      <c r="A78" s="9" t="s">
        <v>44</v>
      </c>
    </row>
    <row r="79" spans="1:11" x14ac:dyDescent="0.15">
      <c r="H79" s="31" t="s">
        <v>45</v>
      </c>
      <c r="I79" s="31"/>
      <c r="J79" s="31"/>
      <c r="K79" s="31"/>
    </row>
    <row r="80" spans="1:11" ht="15.75" customHeight="1" x14ac:dyDescent="0.15">
      <c r="H80" s="26" t="s">
        <v>46</v>
      </c>
      <c r="I80" s="26"/>
      <c r="J80" s="26"/>
      <c r="K80" s="26"/>
    </row>
    <row r="81" spans="1:11" ht="15.75" customHeight="1" x14ac:dyDescent="0.15">
      <c r="H81" s="27" t="s">
        <v>48</v>
      </c>
      <c r="I81" s="26"/>
      <c r="J81" s="26"/>
      <c r="K81" s="26"/>
    </row>
    <row r="82" spans="1:11" ht="15.75" customHeight="1" x14ac:dyDescent="0.15">
      <c r="H82" s="10"/>
      <c r="I82" s="10"/>
      <c r="J82" s="10"/>
      <c r="K82" s="10"/>
    </row>
    <row r="87" spans="1:11" x14ac:dyDescent="0.15">
      <c r="H87" s="25" t="str">
        <f>C9</f>
        <v>Kiều Thành Anh</v>
      </c>
      <c r="I87" s="25"/>
      <c r="J87" s="25"/>
      <c r="K87" s="25"/>
    </row>
    <row r="89" spans="1:11" x14ac:dyDescent="0.15">
      <c r="A89" s="4" t="s">
        <v>52</v>
      </c>
    </row>
    <row r="90" spans="1:11" x14ac:dyDescent="0.15">
      <c r="H90" s="28" t="s">
        <v>45</v>
      </c>
      <c r="I90" s="28"/>
      <c r="J90" s="28"/>
      <c r="K90" s="28"/>
    </row>
    <row r="91" spans="1:11" x14ac:dyDescent="0.15">
      <c r="H91" s="26" t="s">
        <v>47</v>
      </c>
      <c r="I91" s="26"/>
      <c r="J91" s="26"/>
      <c r="K91" s="26"/>
    </row>
    <row r="92" spans="1:11" x14ac:dyDescent="0.15">
      <c r="H92" s="27" t="s">
        <v>48</v>
      </c>
      <c r="I92" s="27"/>
      <c r="J92" s="27"/>
      <c r="K92" s="27"/>
    </row>
    <row r="93" spans="1:11" x14ac:dyDescent="0.15">
      <c r="H93" s="15"/>
      <c r="I93" s="15"/>
      <c r="J93" s="15"/>
      <c r="K93" s="15"/>
    </row>
    <row r="98" spans="8:11" x14ac:dyDescent="0.15">
      <c r="H98" s="25" t="str">
        <f>C13</f>
        <v>Nguyễn Đức Anh</v>
      </c>
      <c r="I98" s="25"/>
      <c r="J98" s="25"/>
      <c r="K98" s="25"/>
    </row>
  </sheetData>
  <sheetProtection algorithmName="SHA-512" hashValue="jpDlXfP41wM5gdw5bhgAC70SaddZOFirMsZ8oOst6JyRThMXTESqEtDeMuknZdxvIrjliEvK7fNU+KZodohMpg==" saltValue="wld/diwq2k3L90PoOmTmpw==" spinCount="100000" sheet="1" objects="1" scenarios="1" formatCells="0" formatColumns="0" formatRows="0" insertRows="0" insertHyperlinks="0"/>
  <mergeCells count="34">
    <mergeCell ref="C10:G10"/>
    <mergeCell ref="I10:K10"/>
    <mergeCell ref="J1:K1"/>
    <mergeCell ref="A2:K2"/>
    <mergeCell ref="A3:K3"/>
    <mergeCell ref="A5:K5"/>
    <mergeCell ref="C9:G9"/>
    <mergeCell ref="I9:K9"/>
    <mergeCell ref="A23:K23"/>
    <mergeCell ref="C21:K21"/>
    <mergeCell ref="C11:G11"/>
    <mergeCell ref="I11:K11"/>
    <mergeCell ref="C13:K13"/>
    <mergeCell ref="C14:K14"/>
    <mergeCell ref="D15:G15"/>
    <mergeCell ref="I15:K15"/>
    <mergeCell ref="A17:K17"/>
    <mergeCell ref="C19:K19"/>
    <mergeCell ref="C20:K20"/>
    <mergeCell ref="H90:K90"/>
    <mergeCell ref="A72:K76"/>
    <mergeCell ref="H79:K79"/>
    <mergeCell ref="A70:E70"/>
    <mergeCell ref="A26:K28"/>
    <mergeCell ref="A30:K32"/>
    <mergeCell ref="A34:K34"/>
    <mergeCell ref="A36:K38"/>
    <mergeCell ref="A40:K42"/>
    <mergeCell ref="A44:K44"/>
    <mergeCell ref="A47:K49"/>
    <mergeCell ref="A52:K54"/>
    <mergeCell ref="A57:K59"/>
    <mergeCell ref="A62:K64"/>
    <mergeCell ref="A67:K69"/>
  </mergeCells>
  <dataValidations count="2">
    <dataValidation type="list" allowBlank="1" showInputMessage="1" showErrorMessage="1" sqref="C19:K21" xr:uid="{F82CF626-4C01-5D47-9AAA-9C701FAB1058}">
      <formula1>Danh_sách_phân_ban</formula1>
    </dataValidation>
    <dataValidation type="list" allowBlank="1" showInputMessage="1" showErrorMessage="1" sqref="H45 J45 H50 J50 H55 J55 H60 J60 H65 J65 H70 J70" xr:uid="{457CBC5E-5B77-464C-B6AB-3DC8D5A49620}">
      <formula1>Tuần</formula1>
    </dataValidation>
  </dataValidations>
  <pageMargins left="0.7" right="0.7" top="0.75" bottom="0.75" header="0.3" footer="0.3"/>
  <pageSetup paperSize="9" scale="8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16A9-3591-AC4E-A389-05DE9D50EBB0}">
  <dimension ref="A2:N24"/>
  <sheetViews>
    <sheetView workbookViewId="0">
      <selection activeCell="M11" sqref="M11"/>
    </sheetView>
  </sheetViews>
  <sheetFormatPr baseColWidth="10" defaultColWidth="11" defaultRowHeight="16" x14ac:dyDescent="0.2"/>
  <cols>
    <col min="1" max="1" width="6.5" style="1" customWidth="1"/>
    <col min="2" max="2" width="48.6640625" customWidth="1"/>
    <col min="3" max="4" width="11" customWidth="1"/>
    <col min="5" max="5" width="7.5" customWidth="1"/>
    <col min="6" max="6" width="11" customWidth="1"/>
    <col min="7" max="7" width="6.5" customWidth="1"/>
    <col min="8" max="8" width="56.6640625" customWidth="1"/>
    <col min="13" max="13" width="20.5" customWidth="1"/>
  </cols>
  <sheetData>
    <row r="2" spans="1:14" ht="21" x14ac:dyDescent="0.25">
      <c r="B2" s="2" t="s">
        <v>56</v>
      </c>
      <c r="E2" s="14" t="s">
        <v>57</v>
      </c>
      <c r="G2" s="1"/>
      <c r="H2" s="2" t="s">
        <v>56</v>
      </c>
      <c r="J2" s="14" t="s">
        <v>100</v>
      </c>
    </row>
    <row r="3" spans="1:14" x14ac:dyDescent="0.2">
      <c r="G3" s="1"/>
    </row>
    <row r="4" spans="1:14" x14ac:dyDescent="0.2">
      <c r="A4" s="18" t="s">
        <v>58</v>
      </c>
      <c r="B4" s="19" t="s">
        <v>56</v>
      </c>
      <c r="E4" s="23" t="s">
        <v>57</v>
      </c>
      <c r="G4" s="18" t="s">
        <v>58</v>
      </c>
      <c r="H4" s="19" t="s">
        <v>94</v>
      </c>
      <c r="J4" s="1" t="s">
        <v>100</v>
      </c>
      <c r="M4" t="s">
        <v>95</v>
      </c>
      <c r="N4" t="s">
        <v>96</v>
      </c>
    </row>
    <row r="5" spans="1:14" x14ac:dyDescent="0.2">
      <c r="A5" s="16">
        <v>1</v>
      </c>
      <c r="B5" s="17" t="s">
        <v>59</v>
      </c>
      <c r="E5" s="22">
        <v>1</v>
      </c>
      <c r="G5" s="16">
        <v>1</v>
      </c>
      <c r="H5" s="17" t="s">
        <v>60</v>
      </c>
      <c r="J5" s="1">
        <v>1</v>
      </c>
      <c r="M5" t="s">
        <v>97</v>
      </c>
      <c r="N5" t="s">
        <v>98</v>
      </c>
    </row>
    <row r="6" spans="1:14" x14ac:dyDescent="0.2">
      <c r="A6" s="16">
        <v>2</v>
      </c>
      <c r="B6" s="17" t="s">
        <v>61</v>
      </c>
      <c r="E6" s="22">
        <v>2</v>
      </c>
      <c r="G6" s="16">
        <v>2</v>
      </c>
      <c r="H6" s="17" t="s">
        <v>62</v>
      </c>
      <c r="J6" s="1">
        <v>2</v>
      </c>
      <c r="M6" t="s">
        <v>57</v>
      </c>
      <c r="N6" t="s">
        <v>99</v>
      </c>
    </row>
    <row r="7" spans="1:14" x14ac:dyDescent="0.2">
      <c r="A7" s="16">
        <v>3</v>
      </c>
      <c r="B7" s="17" t="s">
        <v>63</v>
      </c>
      <c r="E7" s="22">
        <v>3</v>
      </c>
      <c r="G7" s="16">
        <v>3</v>
      </c>
      <c r="H7" s="17" t="s">
        <v>64</v>
      </c>
      <c r="J7" s="1">
        <v>3</v>
      </c>
      <c r="M7" t="s">
        <v>100</v>
      </c>
      <c r="N7" t="s">
        <v>101</v>
      </c>
    </row>
    <row r="8" spans="1:14" x14ac:dyDescent="0.2">
      <c r="A8" s="16">
        <v>4</v>
      </c>
      <c r="B8" s="17" t="s">
        <v>65</v>
      </c>
      <c r="E8" s="22">
        <v>4</v>
      </c>
      <c r="G8" s="16">
        <v>4</v>
      </c>
      <c r="H8" s="17" t="s">
        <v>66</v>
      </c>
      <c r="J8" s="1">
        <v>4</v>
      </c>
    </row>
    <row r="9" spans="1:14" x14ac:dyDescent="0.2">
      <c r="A9" s="16">
        <v>5</v>
      </c>
      <c r="B9" s="17" t="s">
        <v>67</v>
      </c>
      <c r="E9" s="22">
        <v>5</v>
      </c>
      <c r="G9" s="16">
        <v>5</v>
      </c>
      <c r="H9" s="17" t="s">
        <v>67</v>
      </c>
      <c r="J9" s="1">
        <v>5</v>
      </c>
    </row>
    <row r="10" spans="1:14" x14ac:dyDescent="0.2">
      <c r="A10" s="16">
        <v>6</v>
      </c>
      <c r="B10" s="17" t="s">
        <v>92</v>
      </c>
      <c r="E10" s="22">
        <v>6</v>
      </c>
      <c r="G10" s="16">
        <v>6</v>
      </c>
      <c r="H10" s="17" t="s">
        <v>93</v>
      </c>
      <c r="J10" s="1">
        <v>6</v>
      </c>
    </row>
    <row r="11" spans="1:14" x14ac:dyDescent="0.2">
      <c r="A11" s="16">
        <v>7</v>
      </c>
      <c r="B11" s="17" t="s">
        <v>68</v>
      </c>
      <c r="E11" s="22">
        <v>7</v>
      </c>
      <c r="G11" s="16">
        <v>7</v>
      </c>
      <c r="H11" s="17" t="s">
        <v>69</v>
      </c>
      <c r="J11" s="1">
        <v>7</v>
      </c>
    </row>
    <row r="12" spans="1:14" x14ac:dyDescent="0.2">
      <c r="A12" s="16">
        <v>8</v>
      </c>
      <c r="B12" s="17" t="s">
        <v>55</v>
      </c>
      <c r="E12" s="22">
        <v>8</v>
      </c>
      <c r="G12" s="16">
        <v>8</v>
      </c>
      <c r="H12" s="17" t="s">
        <v>70</v>
      </c>
      <c r="J12" s="1">
        <v>8</v>
      </c>
    </row>
    <row r="13" spans="1:14" x14ac:dyDescent="0.2">
      <c r="A13" s="16">
        <v>9</v>
      </c>
      <c r="B13" s="17" t="s">
        <v>71</v>
      </c>
      <c r="E13" s="22">
        <v>9</v>
      </c>
      <c r="G13" s="16">
        <v>9</v>
      </c>
      <c r="H13" s="17" t="s">
        <v>72</v>
      </c>
      <c r="J13" s="1">
        <v>9</v>
      </c>
    </row>
    <row r="14" spans="1:14" x14ac:dyDescent="0.2">
      <c r="A14" s="16">
        <v>10</v>
      </c>
      <c r="B14" s="17" t="s">
        <v>53</v>
      </c>
      <c r="E14" s="22">
        <v>10</v>
      </c>
      <c r="G14" s="16">
        <v>10</v>
      </c>
      <c r="H14" s="17" t="s">
        <v>73</v>
      </c>
      <c r="J14" s="1">
        <v>10</v>
      </c>
    </row>
    <row r="15" spans="1:14" x14ac:dyDescent="0.2">
      <c r="A15" s="16">
        <v>11</v>
      </c>
      <c r="B15" s="17" t="s">
        <v>74</v>
      </c>
      <c r="E15" s="22">
        <v>11</v>
      </c>
      <c r="G15" s="16">
        <v>11</v>
      </c>
      <c r="H15" s="17" t="s">
        <v>75</v>
      </c>
      <c r="J15" s="1">
        <v>11</v>
      </c>
    </row>
    <row r="16" spans="1:14" x14ac:dyDescent="0.2">
      <c r="A16" s="16">
        <v>12</v>
      </c>
      <c r="B16" s="17" t="s">
        <v>76</v>
      </c>
      <c r="E16" s="22">
        <v>12</v>
      </c>
      <c r="G16" s="16">
        <v>12</v>
      </c>
      <c r="H16" s="17" t="s">
        <v>77</v>
      </c>
      <c r="J16" s="1">
        <v>12</v>
      </c>
    </row>
    <row r="17" spans="1:10" x14ac:dyDescent="0.2">
      <c r="A17" s="16">
        <v>13</v>
      </c>
      <c r="B17" s="17" t="s">
        <v>51</v>
      </c>
      <c r="E17" s="22">
        <v>13</v>
      </c>
      <c r="G17" s="16">
        <v>13</v>
      </c>
      <c r="H17" s="17" t="s">
        <v>78</v>
      </c>
      <c r="J17" s="1">
        <v>13</v>
      </c>
    </row>
    <row r="18" spans="1:10" x14ac:dyDescent="0.2">
      <c r="A18" s="16">
        <v>14</v>
      </c>
      <c r="B18" s="17" t="s">
        <v>79</v>
      </c>
      <c r="E18" s="22">
        <v>14</v>
      </c>
      <c r="G18" s="16">
        <v>14</v>
      </c>
      <c r="H18" s="17" t="s">
        <v>80</v>
      </c>
      <c r="J18" s="1">
        <v>14</v>
      </c>
    </row>
    <row r="19" spans="1:10" x14ac:dyDescent="0.2">
      <c r="A19" s="16">
        <v>15</v>
      </c>
      <c r="B19" s="17" t="s">
        <v>81</v>
      </c>
      <c r="E19" s="22">
        <v>15</v>
      </c>
      <c r="G19" s="16">
        <v>15</v>
      </c>
      <c r="H19" s="17" t="s">
        <v>82</v>
      </c>
      <c r="J19" s="1">
        <v>15</v>
      </c>
    </row>
    <row r="20" spans="1:10" x14ac:dyDescent="0.2">
      <c r="A20" s="16">
        <v>16</v>
      </c>
      <c r="B20" s="17" t="s">
        <v>54</v>
      </c>
      <c r="E20" s="22">
        <v>16</v>
      </c>
      <c r="G20" s="16">
        <v>16</v>
      </c>
      <c r="H20" s="17" t="s">
        <v>83</v>
      </c>
      <c r="J20" s="1">
        <v>16</v>
      </c>
    </row>
    <row r="21" spans="1:10" ht="14" customHeight="1" x14ac:dyDescent="0.2">
      <c r="A21" s="16">
        <v>17</v>
      </c>
      <c r="B21" s="17" t="s">
        <v>84</v>
      </c>
      <c r="E21" s="22">
        <v>17</v>
      </c>
      <c r="G21" s="16">
        <v>17</v>
      </c>
      <c r="H21" s="17" t="s">
        <v>85</v>
      </c>
      <c r="J21" s="1">
        <v>17</v>
      </c>
    </row>
    <row r="22" spans="1:10" x14ac:dyDescent="0.2">
      <c r="A22" s="16">
        <v>18</v>
      </c>
      <c r="B22" s="17" t="s">
        <v>86</v>
      </c>
      <c r="E22" s="22">
        <v>18</v>
      </c>
      <c r="G22" s="16">
        <v>18</v>
      </c>
      <c r="H22" s="17" t="s">
        <v>87</v>
      </c>
      <c r="J22" s="1">
        <v>18</v>
      </c>
    </row>
    <row r="23" spans="1:10" x14ac:dyDescent="0.2">
      <c r="A23" s="16">
        <v>19</v>
      </c>
      <c r="B23" s="17" t="s">
        <v>88</v>
      </c>
      <c r="E23" s="22">
        <v>19</v>
      </c>
      <c r="G23" s="16">
        <v>19</v>
      </c>
      <c r="H23" s="17" t="s">
        <v>89</v>
      </c>
      <c r="J23" s="1">
        <v>19</v>
      </c>
    </row>
    <row r="24" spans="1:10" x14ac:dyDescent="0.2">
      <c r="A24" s="20">
        <v>20</v>
      </c>
      <c r="B24" s="21" t="s">
        <v>50</v>
      </c>
      <c r="E24" s="24">
        <v>20</v>
      </c>
      <c r="G24" s="20">
        <v>20</v>
      </c>
      <c r="H24" s="21" t="s">
        <v>90</v>
      </c>
      <c r="J24" s="1">
        <v>20</v>
      </c>
    </row>
  </sheetData>
  <sheetProtection algorithmName="SHA-512" hashValue="F4kTqROIyWimDLlADeGQZ+ebS8wHmc/msznhQBC2RTKLE8VUIo8iGGNRKkQHJMUm5dIwFe0ueoA5dn4NcVdKiw==" saltValue="0fMZkCzkalK9lY1lYmqNqA==" spinCount="100000" sheet="1" objects="1" scenarios="1"/>
  <sortState xmlns:xlrd2="http://schemas.microsoft.com/office/spreadsheetml/2017/richdata2" ref="A5:B43">
    <sortCondition ref="B5:B43"/>
  </sortState>
  <pageMargins left="0.7" right="0.7" top="0.75" bottom="0.75" header="0.3" footer="0.3"/>
  <pageSetup paperSize="9" orientation="portrait" horizontalDpi="0" verticalDpi="0"/>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8CFDFA6F03F44F8D1C4E80493503FF" ma:contentTypeVersion="0" ma:contentTypeDescription="Create a new document." ma:contentTypeScope="" ma:versionID="9151294f3462a75bd299a8dcb576b597">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959958-129A-4E98-ADF5-DB3C05C92A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0AA58FF-F48F-49A2-8D05-F7E41DE4AA3B}">
  <ds:schemaRefs>
    <ds:schemaRef ds:uri="http://schemas.microsoft.com/sharepoint/v3/contenttype/forms"/>
  </ds:schemaRefs>
</ds:datastoreItem>
</file>

<file path=customXml/itemProps3.xml><?xml version="1.0" encoding="utf-8"?>
<ds:datastoreItem xmlns:ds="http://schemas.openxmlformats.org/officeDocument/2006/customXml" ds:itemID="{594ADD0A-2D08-4926-97D4-332342A54E4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Kỹ sư</vt:lpstr>
      <vt:lpstr>DS phân ban</vt:lpstr>
      <vt:lpstr>Danh_sách_phân_ban</vt:lpstr>
      <vt:lpstr>List_of_fields</vt:lpstr>
      <vt:lpstr>'Kỹ sư'!Print_Area</vt:lpstr>
      <vt:lpstr>Tuần</vt:lpstr>
      <vt:lpstr>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Anh Kieu</cp:lastModifiedBy>
  <cp:revision/>
  <dcterms:created xsi:type="dcterms:W3CDTF">2023-01-03T08:35:58Z</dcterms:created>
  <dcterms:modified xsi:type="dcterms:W3CDTF">2026-09-21T07:12:23Z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0x010100658CFDFA6F03F44F8D1C4E80493503FF</vt:lpwstr>
  </property>
</Properties>
</file>